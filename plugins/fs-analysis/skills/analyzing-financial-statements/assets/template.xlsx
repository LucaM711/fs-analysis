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luca.mambelli2\Desktop\fs-analysis\plugins\fs-analysis\skills\analyzing-financial-statements\assets\"/>
    </mc:Choice>
  </mc:AlternateContent>
  <xr:revisionPtr revIDLastSave="0" documentId="8_{30BCF324-BC28-4BBC-AF63-CBBAC01B6D9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" sheetId="1" r:id="rId1"/>
    <sheet name="Report" sheetId="2" r:id="rId2"/>
  </sheets>
  <definedNames>
    <definedName name="_xlnm.Print_Area" localSheetId="1">Report!$A$1:$D$185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1" i="1" l="1"/>
  <c r="C140" i="2"/>
  <c r="B140" i="2"/>
  <c r="D140" i="2" s="1"/>
  <c r="C139" i="2"/>
  <c r="C142" i="2" s="1"/>
  <c r="B139" i="2"/>
  <c r="B142" i="2" s="1"/>
  <c r="D142" i="2" s="1"/>
  <c r="C131" i="2"/>
  <c r="C130" i="2"/>
  <c r="B130" i="2"/>
  <c r="B131" i="2" s="1"/>
  <c r="B61" i="1" s="1"/>
  <c r="C61" i="1" s="1"/>
  <c r="E61" i="1" s="1"/>
  <c r="D120" i="2"/>
  <c r="C120" i="2"/>
  <c r="B120" i="2"/>
  <c r="C119" i="2"/>
  <c r="C134" i="2" s="1"/>
  <c r="B119" i="2"/>
  <c r="C118" i="2"/>
  <c r="B118" i="2"/>
  <c r="D118" i="2" s="1"/>
  <c r="C117" i="2"/>
  <c r="B117" i="2"/>
  <c r="D117" i="2" s="1"/>
  <c r="C115" i="2"/>
  <c r="C133" i="2" s="1"/>
  <c r="B115" i="2"/>
  <c r="B133" i="2" s="1"/>
  <c r="C113" i="2"/>
  <c r="C114" i="2" s="1"/>
  <c r="B113" i="2"/>
  <c r="D111" i="2"/>
  <c r="C111" i="2"/>
  <c r="B111" i="2"/>
  <c r="C112" i="2" s="1"/>
  <c r="C110" i="2"/>
  <c r="B110" i="2"/>
  <c r="C109" i="2"/>
  <c r="D109" i="2" s="1"/>
  <c r="B109" i="2"/>
  <c r="C108" i="2"/>
  <c r="C107" i="2"/>
  <c r="B107" i="2"/>
  <c r="B108" i="2" s="1"/>
  <c r="B106" i="2"/>
  <c r="C105" i="2"/>
  <c r="C106" i="2" s="1"/>
  <c r="B105" i="2"/>
  <c r="C104" i="2"/>
  <c r="D103" i="2"/>
  <c r="C103" i="2"/>
  <c r="B103" i="2"/>
  <c r="B104" i="2" s="1"/>
  <c r="C101" i="2"/>
  <c r="C102" i="2" s="1"/>
  <c r="B101" i="2"/>
  <c r="B102" i="2" s="1"/>
  <c r="D100" i="2"/>
  <c r="C100" i="2"/>
  <c r="B100" i="2"/>
  <c r="B114" i="2" s="1"/>
  <c r="C99" i="2"/>
  <c r="C138" i="2" s="1"/>
  <c r="B99" i="2"/>
  <c r="B138" i="2" s="1"/>
  <c r="C98" i="2"/>
  <c r="B98" i="2"/>
  <c r="B125" i="1" s="1"/>
  <c r="C125" i="1" s="1"/>
  <c r="B96" i="2"/>
  <c r="B123" i="2" s="1"/>
  <c r="C91" i="2"/>
  <c r="B91" i="2"/>
  <c r="C90" i="2"/>
  <c r="D90" i="2" s="1"/>
  <c r="B90" i="2"/>
  <c r="C89" i="2"/>
  <c r="C88" i="2"/>
  <c r="B88" i="2"/>
  <c r="D88" i="2" s="1"/>
  <c r="C87" i="2"/>
  <c r="B87" i="2"/>
  <c r="B132" i="1" s="1"/>
  <c r="C132" i="1" s="1"/>
  <c r="D86" i="2"/>
  <c r="C86" i="2"/>
  <c r="B86" i="2"/>
  <c r="B89" i="2" s="1"/>
  <c r="D80" i="2"/>
  <c r="C80" i="2"/>
  <c r="B80" i="2"/>
  <c r="B81" i="2" s="1"/>
  <c r="C78" i="2"/>
  <c r="C79" i="2" s="1"/>
  <c r="B78" i="2"/>
  <c r="B79" i="2" s="1"/>
  <c r="C77" i="2"/>
  <c r="C76" i="2"/>
  <c r="B76" i="2"/>
  <c r="B77" i="2" s="1"/>
  <c r="B138" i="1" s="1"/>
  <c r="C138" i="1" s="1"/>
  <c r="C73" i="2"/>
  <c r="C81" i="2" s="1"/>
  <c r="B73" i="2"/>
  <c r="B70" i="2" s="1"/>
  <c r="B130" i="1" s="1"/>
  <c r="C130" i="1" s="1"/>
  <c r="C71" i="2"/>
  <c r="C72" i="2" s="1"/>
  <c r="B71" i="2"/>
  <c r="B72" i="2" s="1"/>
  <c r="C69" i="2"/>
  <c r="C70" i="2" s="1"/>
  <c r="B69" i="2"/>
  <c r="D67" i="2"/>
  <c r="C67" i="2"/>
  <c r="C68" i="2" s="1"/>
  <c r="B67" i="2"/>
  <c r="B68" i="2" s="1"/>
  <c r="C66" i="2"/>
  <c r="B66" i="2"/>
  <c r="C65" i="2"/>
  <c r="D65" i="2" s="1"/>
  <c r="B65" i="2"/>
  <c r="C64" i="2"/>
  <c r="C63" i="2"/>
  <c r="C127" i="2" s="1"/>
  <c r="B63" i="2"/>
  <c r="B62" i="2"/>
  <c r="C61" i="2"/>
  <c r="D61" i="2" s="1"/>
  <c r="B61" i="2"/>
  <c r="D28" i="2"/>
  <c r="C28" i="2"/>
  <c r="B28" i="2"/>
  <c r="A28" i="2"/>
  <c r="D27" i="2"/>
  <c r="C27" i="2"/>
  <c r="B27" i="2"/>
  <c r="A27" i="2"/>
  <c r="D24" i="2"/>
  <c r="C24" i="2"/>
  <c r="B24" i="2"/>
  <c r="A24" i="2"/>
  <c r="D23" i="2"/>
  <c r="C23" i="2"/>
  <c r="B23" i="2"/>
  <c r="A23" i="2"/>
  <c r="B20" i="2"/>
  <c r="A17" i="2"/>
  <c r="A14" i="2"/>
  <c r="A11" i="2"/>
  <c r="B7" i="2"/>
  <c r="B6" i="2"/>
  <c r="B5" i="2"/>
  <c r="B1" i="2"/>
  <c r="B133" i="1"/>
  <c r="C133" i="1" s="1"/>
  <c r="J88" i="1"/>
  <c r="J89" i="1" s="1"/>
  <c r="J90" i="1" s="1"/>
  <c r="I88" i="1"/>
  <c r="I89" i="1" s="1"/>
  <c r="I90" i="1" s="1"/>
  <c r="H88" i="1"/>
  <c r="H89" i="1" s="1"/>
  <c r="H90" i="1" s="1"/>
  <c r="B70" i="1"/>
  <c r="C70" i="1" s="1"/>
  <c r="E70" i="1" s="1"/>
  <c r="D52" i="1"/>
  <c r="C52" i="1"/>
  <c r="B52" i="1"/>
  <c r="E47" i="1"/>
  <c r="B4" i="2" s="1"/>
  <c r="G39" i="1"/>
  <c r="G37" i="1" s="1"/>
  <c r="D53" i="1" s="1"/>
  <c r="F39" i="1"/>
  <c r="C84" i="2" s="1"/>
  <c r="E39" i="1"/>
  <c r="B84" i="2" s="1"/>
  <c r="G38" i="1"/>
  <c r="F38" i="1"/>
  <c r="C83" i="2" s="1"/>
  <c r="E38" i="1"/>
  <c r="E37" i="1" s="1"/>
  <c r="B26" i="1"/>
  <c r="D6" i="1"/>
  <c r="D26" i="1" s="1"/>
  <c r="C6" i="1"/>
  <c r="C59" i="2" s="1"/>
  <c r="B6" i="1"/>
  <c r="B59" i="2" s="1"/>
  <c r="I91" i="1" l="1"/>
  <c r="I92" i="1" s="1"/>
  <c r="D133" i="2"/>
  <c r="B65" i="1"/>
  <c r="B82" i="2"/>
  <c r="B53" i="1"/>
  <c r="B126" i="2"/>
  <c r="D138" i="2"/>
  <c r="B72" i="1"/>
  <c r="C72" i="1" s="1"/>
  <c r="E72" i="1" s="1"/>
  <c r="B127" i="2"/>
  <c r="D84" i="2"/>
  <c r="D105" i="2"/>
  <c r="D119" i="2"/>
  <c r="B124" i="1" s="1"/>
  <c r="C124" i="1" s="1"/>
  <c r="F37" i="1"/>
  <c r="D71" i="2"/>
  <c r="B83" i="2"/>
  <c r="D83" i="2" s="1"/>
  <c r="D115" i="2"/>
  <c r="B122" i="1" s="1"/>
  <c r="C122" i="1" s="1"/>
  <c r="D139" i="2"/>
  <c r="C62" i="2"/>
  <c r="D78" i="2"/>
  <c r="D87" i="2"/>
  <c r="C96" i="2"/>
  <c r="C123" i="2" s="1"/>
  <c r="D101" i="2"/>
  <c r="B116" i="2"/>
  <c r="B135" i="2"/>
  <c r="B62" i="1"/>
  <c r="C62" i="1" s="1"/>
  <c r="E62" i="1" s="1"/>
  <c r="C26" i="1"/>
  <c r="B134" i="2"/>
  <c r="B112" i="2"/>
  <c r="C126" i="2"/>
  <c r="C116" i="2"/>
  <c r="C135" i="2"/>
  <c r="D63" i="2"/>
  <c r="D98" i="2"/>
  <c r="B121" i="1" s="1"/>
  <c r="C121" i="1" s="1"/>
  <c r="D107" i="2"/>
  <c r="D130" i="2"/>
  <c r="B136" i="2"/>
  <c r="B141" i="2"/>
  <c r="D141" i="2" s="1"/>
  <c r="B64" i="2"/>
  <c r="D73" i="2"/>
  <c r="C136" i="2"/>
  <c r="C141" i="2"/>
  <c r="D69" i="2"/>
  <c r="B131" i="1" s="1"/>
  <c r="C131" i="1" s="1"/>
  <c r="D99" i="2"/>
  <c r="D113" i="2"/>
  <c r="D76" i="2"/>
  <c r="B69" i="1" l="1"/>
  <c r="C69" i="1" s="1"/>
  <c r="E69" i="1" s="1"/>
  <c r="B123" i="1"/>
  <c r="C123" i="1" s="1"/>
  <c r="D127" i="2"/>
  <c r="B58" i="1"/>
  <c r="C58" i="1" s="1"/>
  <c r="E58" i="1" s="1"/>
  <c r="D126" i="2"/>
  <c r="B57" i="1"/>
  <c r="C57" i="1" s="1"/>
  <c r="B66" i="1"/>
  <c r="C66" i="1" s="1"/>
  <c r="E66" i="1" s="1"/>
  <c r="D134" i="2"/>
  <c r="B85" i="2"/>
  <c r="B129" i="2"/>
  <c r="D82" i="2"/>
  <c r="B126" i="1"/>
  <c r="C126" i="1" s="1"/>
  <c r="C65" i="1"/>
  <c r="E65" i="1" s="1"/>
  <c r="C82" i="2"/>
  <c r="C53" i="1"/>
  <c r="B134" i="1"/>
  <c r="C134" i="1" s="1"/>
  <c r="B68" i="1"/>
  <c r="C68" i="1" s="1"/>
  <c r="E68" i="1" s="1"/>
  <c r="D136" i="2"/>
  <c r="B63" i="1"/>
  <c r="C63" i="1" s="1"/>
  <c r="E63" i="1" s="1"/>
  <c r="D135" i="2"/>
  <c r="B67" i="1"/>
  <c r="C67" i="1" s="1"/>
  <c r="E67" i="1" s="1"/>
  <c r="C140" i="1"/>
  <c r="C127" i="1"/>
  <c r="C135" i="1"/>
  <c r="F67" i="1" l="1"/>
  <c r="D129" i="2"/>
  <c r="B60" i="1"/>
  <c r="E75" i="1"/>
  <c r="E57" i="1"/>
  <c r="F57" i="1" s="1"/>
  <c r="F65" i="1"/>
  <c r="F69" i="1"/>
  <c r="C85" i="2"/>
  <c r="C129" i="2"/>
  <c r="F58" i="1"/>
  <c r="F61" i="1" l="1"/>
  <c r="F70" i="1"/>
  <c r="F62" i="1"/>
  <c r="F72" i="1"/>
  <c r="C83" i="1"/>
  <c r="F68" i="1"/>
  <c r="F66" i="1"/>
  <c r="F63" i="1"/>
  <c r="B139" i="1"/>
  <c r="C139" i="1" s="1"/>
  <c r="C60" i="1"/>
  <c r="E60" i="1" s="1"/>
  <c r="F60" i="1" s="1"/>
  <c r="D83" i="1" l="1"/>
  <c r="D85" i="1" s="1"/>
  <c r="D6" i="2" s="1"/>
  <c r="E111" i="1"/>
  <c r="E113" i="1" s="1"/>
  <c r="E112" i="1" s="1"/>
  <c r="B113" i="1"/>
  <c r="B112" i="1" s="1"/>
  <c r="D111" i="1"/>
  <c r="D113" i="1" s="1"/>
  <c r="D112" i="1" s="1"/>
  <c r="B109" i="1"/>
  <c r="D15" i="2"/>
  <c r="C111" i="1"/>
  <c r="C113" i="1" s="1"/>
  <c r="C112" i="1" s="1"/>
</calcChain>
</file>

<file path=xl/sharedStrings.xml><?xml version="1.0" encoding="utf-8"?>
<sst xmlns="http://schemas.openxmlformats.org/spreadsheetml/2006/main" count="236" uniqueCount="175">
  <si>
    <t>Inserire Nome Azienda</t>
  </si>
  <si>
    <t>Tipologia</t>
  </si>
  <si>
    <t>Grade</t>
  </si>
  <si>
    <t>Fido</t>
  </si>
  <si>
    <t>Inserire ultimo anno disponibile di bilancio</t>
  </si>
  <si>
    <t>Fornitore</t>
  </si>
  <si>
    <t>CONTO ECONOMICO</t>
  </si>
  <si>
    <t>Voce</t>
  </si>
  <si>
    <t>Valore della Produzione</t>
  </si>
  <si>
    <t>Ricavi di vendita</t>
  </si>
  <si>
    <t>Costi della Produzione</t>
  </si>
  <si>
    <t>Costi per Materie</t>
  </si>
  <si>
    <t>Costi per Servizi</t>
  </si>
  <si>
    <t>Costi per godimento beni di terzi</t>
  </si>
  <si>
    <t>Costi Personale</t>
  </si>
  <si>
    <t>Ammortamenti</t>
  </si>
  <si>
    <t>Accantonamenti per rischi</t>
  </si>
  <si>
    <t>Oneri diversi di gestione</t>
  </si>
  <si>
    <t>EBIT</t>
  </si>
  <si>
    <t>Proventi Finanziari</t>
  </si>
  <si>
    <t>Oneri Finanziari</t>
  </si>
  <si>
    <t>Utile (Perdita) dell'esercizio</t>
  </si>
  <si>
    <t>Dipendenti</t>
  </si>
  <si>
    <t>STATO PATRIMONIALE</t>
  </si>
  <si>
    <t>Immobilizzazioni</t>
  </si>
  <si>
    <t>Rimanenze</t>
  </si>
  <si>
    <t>Crediti</t>
  </si>
  <si>
    <t>Attività Finanziarie</t>
  </si>
  <si>
    <t>Disponibilità Liquide</t>
  </si>
  <si>
    <t>Ratei e Risconti Attivi</t>
  </si>
  <si>
    <t>Totale Attivo</t>
  </si>
  <si>
    <t>Totale Patrimonio Netto</t>
  </si>
  <si>
    <t>Fondi per rischi e oneri</t>
  </si>
  <si>
    <t>Trattamento di fine rapporto di lavoro subordinato</t>
  </si>
  <si>
    <t>Totale Debiti</t>
  </si>
  <si>
    <t>Debiti esigibili a breve</t>
  </si>
  <si>
    <t>Debiti esigibili oltre l’esercizio successivo</t>
  </si>
  <si>
    <t>Totale Debiti Finanziari</t>
  </si>
  <si>
    <t>Debiti Finanziari esigibili a breve</t>
  </si>
  <si>
    <t>Debiti Finanziari esigibili oltre l’esercizio successivo</t>
  </si>
  <si>
    <t>Ratei e Risconti Passivi</t>
  </si>
  <si>
    <t>Debiti verso fornitori</t>
  </si>
  <si>
    <t>Crediti verso clienti</t>
  </si>
  <si>
    <t>ATECO 2007</t>
  </si>
  <si>
    <t>Partita IVA</t>
  </si>
  <si>
    <t>Forma Giuridica</t>
  </si>
  <si>
    <t>Sede</t>
  </si>
  <si>
    <t>Verifica Attivo</t>
  </si>
  <si>
    <t>Verifica Passivo</t>
  </si>
  <si>
    <t>Liquidità</t>
  </si>
  <si>
    <t>Valore di bilancio</t>
  </si>
  <si>
    <t>Peso</t>
  </si>
  <si>
    <t>Grade Ponderato</t>
  </si>
  <si>
    <t>Peso %</t>
  </si>
  <si>
    <t xml:space="preserve">Test Acido </t>
  </si>
  <si>
    <t>&lt;</t>
  </si>
  <si>
    <t>Current Ratio</t>
  </si>
  <si>
    <t>Indebitamento e sostenibilità del debito</t>
  </si>
  <si>
    <t>Rapporto Indebitamento</t>
  </si>
  <si>
    <t>&gt;</t>
  </si>
  <si>
    <t>PFN/EBITDA</t>
  </si>
  <si>
    <t>IMS</t>
  </si>
  <si>
    <t>Interest Coverage Ratio</t>
  </si>
  <si>
    <t>Redditività</t>
  </si>
  <si>
    <t>ROS</t>
  </si>
  <si>
    <t>ROE</t>
  </si>
  <si>
    <t>ROI</t>
  </si>
  <si>
    <t>EBITDA%</t>
  </si>
  <si>
    <t>EBIT%</t>
  </si>
  <si>
    <t>Risultato d'esercizio%</t>
  </si>
  <si>
    <t>Efficienza</t>
  </si>
  <si>
    <t>Asset Turnover (AT)</t>
  </si>
  <si>
    <t>Fido Massimo</t>
  </si>
  <si>
    <t>Categoria</t>
  </si>
  <si>
    <t>Totale dello Stato Patrimoniale (€)</t>
  </si>
  <si>
    <t>Ricavi Netti delle Vendite e delle Prestazioni (€)</t>
  </si>
  <si>
    <t>Numero Medio dei Dipendenti</t>
  </si>
  <si>
    <t>Ponderazione Dimensione Impresa</t>
  </si>
  <si>
    <t>Microimpresa</t>
  </si>
  <si>
    <t>Piccola impresa</t>
  </si>
  <si>
    <t>Media impresa</t>
  </si>
  <si>
    <t>Grande impresa</t>
  </si>
  <si>
    <t>Max</t>
  </si>
  <si>
    <t>Grafico</t>
  </si>
  <si>
    <t>Nero</t>
  </si>
  <si>
    <t>Rosso</t>
  </si>
  <si>
    <t>Giallo</t>
  </si>
  <si>
    <t>Verde</t>
  </si>
  <si>
    <t>Valore</t>
  </si>
  <si>
    <t>Rating</t>
  </si>
  <si>
    <t>Molto Critica</t>
  </si>
  <si>
    <t>Critica</t>
  </si>
  <si>
    <t>Adeguata</t>
  </si>
  <si>
    <t>Positiva</t>
  </si>
  <si>
    <t>Eccellente</t>
  </si>
  <si>
    <t>Reddituale</t>
  </si>
  <si>
    <t>Crescita Fatturato</t>
  </si>
  <si>
    <t>Crescita EBIT</t>
  </si>
  <si>
    <t>Crescita Peso EBIT</t>
  </si>
  <si>
    <t>Crescita Utile</t>
  </si>
  <si>
    <t>Crescita Peso Utile</t>
  </si>
  <si>
    <t>Media</t>
  </si>
  <si>
    <t>Finanziaria</t>
  </si>
  <si>
    <t>Disponibilità Liquide Peso</t>
  </si>
  <si>
    <t>Crescita Disponibilità liquide</t>
  </si>
  <si>
    <t>Disponibilità Liquide &gt; Indebitamento finanziario di breve</t>
  </si>
  <si>
    <t>Disponibilità Liquide &gt; Indebitamento finanziario totale</t>
  </si>
  <si>
    <t>Crescita EBITDA</t>
  </si>
  <si>
    <t>Patrimoniale</t>
  </si>
  <si>
    <t>Peso Patrimonio Netto</t>
  </si>
  <si>
    <t>Profilo Società</t>
  </si>
  <si>
    <t>PARTITA IVA</t>
  </si>
  <si>
    <t>FORMA GIURIDICA</t>
  </si>
  <si>
    <t>SEDE</t>
  </si>
  <si>
    <t>Situazione Reddituale</t>
  </si>
  <si>
    <t>Situazione Finanziaria</t>
  </si>
  <si>
    <t>Situazione Patrimoniale</t>
  </si>
  <si>
    <t>Sintesi KPI</t>
  </si>
  <si>
    <t>Ricavi</t>
  </si>
  <si>
    <t>EBITDA</t>
  </si>
  <si>
    <t>Utile d'es.</t>
  </si>
  <si>
    <t>Patr. Netto</t>
  </si>
  <si>
    <t>Deb. Fin.</t>
  </si>
  <si>
    <t>Disp. Liq.</t>
  </si>
  <si>
    <t>Valutazione</t>
  </si>
  <si>
    <t xml:space="preserve">   Ambito Economico</t>
  </si>
  <si>
    <t>Ambito Finanziario e Patrimoniale</t>
  </si>
  <si>
    <t>Sintesi</t>
  </si>
  <si>
    <t>Grade e Fido</t>
  </si>
  <si>
    <t>Var %</t>
  </si>
  <si>
    <t>Attivo</t>
  </si>
  <si>
    <t xml:space="preserve">Immobilizzazioni </t>
  </si>
  <si>
    <t>% Immob. su attivo</t>
  </si>
  <si>
    <t>% Rimanenze su attivo</t>
  </si>
  <si>
    <t>% Crediti su attivo</t>
  </si>
  <si>
    <t>% Attivittà Finanziarie su attivo</t>
  </si>
  <si>
    <t>% Disp. Liq. su attivo</t>
  </si>
  <si>
    <t>% Ratei e Risconti attivi su attivo</t>
  </si>
  <si>
    <t>Passivo</t>
  </si>
  <si>
    <t>Patrimonio Netto</t>
  </si>
  <si>
    <t>% Tot. Patr. Netto su Tot. Passivo</t>
  </si>
  <si>
    <t>% Fondi per rischi e oneri su Tot. Passivo</t>
  </si>
  <si>
    <t>TFR</t>
  </si>
  <si>
    <t>% TFR su Tot. Passivo</t>
  </si>
  <si>
    <t xml:space="preserve">Debiti </t>
  </si>
  <si>
    <t>-Debiti a BT</t>
  </si>
  <si>
    <t>-Debiti a LT</t>
  </si>
  <si>
    <t>% Tot. Debiti su Tot. Passivo</t>
  </si>
  <si>
    <t>Debiti Finanziari</t>
  </si>
  <si>
    <t>-Debiti Finanziari a BT</t>
  </si>
  <si>
    <t>-Debiti Finanziari a LT</t>
  </si>
  <si>
    <t>% Debiti Finanz. su Tot. Passivo</t>
  </si>
  <si>
    <t>% Ratei e Risconti Passivi su Tot. Passivo</t>
  </si>
  <si>
    <t>-Ricavi di vendita</t>
  </si>
  <si>
    <t xml:space="preserve">-Costi per Materie </t>
  </si>
  <si>
    <t>% Costi Materie su Costi prod.</t>
  </si>
  <si>
    <t>-Costi per Servizi</t>
  </si>
  <si>
    <t>% Costi Servizi su Costi prod.</t>
  </si>
  <si>
    <t>-Costi per godimento beni di terzi</t>
  </si>
  <si>
    <t>-Costi Personale</t>
  </si>
  <si>
    <t>% Costi Personale su Costi prod.</t>
  </si>
  <si>
    <t>-Ammortamenti</t>
  </si>
  <si>
    <t>% Ammortamenti su Costi prod.</t>
  </si>
  <si>
    <t>-Accantonamenti per rischi</t>
  </si>
  <si>
    <t>% Accantonamenti per rischi su Costi prod.</t>
  </si>
  <si>
    <t>-Oneri diversi di gestione</t>
  </si>
  <si>
    <t>% Oneri diversi di gestione su Costi prod.</t>
  </si>
  <si>
    <t>% EBIT su Valore Produzione</t>
  </si>
  <si>
    <t>INDICI</t>
  </si>
  <si>
    <t>Indeb. e sostenibilità del debito</t>
  </si>
  <si>
    <t>PFN</t>
  </si>
  <si>
    <t>DSO</t>
  </si>
  <si>
    <t>DPO</t>
  </si>
  <si>
    <t>DIO</t>
  </si>
  <si>
    <t>CCC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</si>
</sst>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7" formatCode="#,##0.00\ &quot;€&quot;;\-#,##0.00\ &quot;€&quot;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0.000"/>
    <numFmt numFmtId="165" formatCode="0.0"/>
    <numFmt numFmtId="166" formatCode="0.0000"/>
    <numFmt numFmtId="167" formatCode="#,##0.00\ &quot;€&quot;"/>
    <numFmt numFmtId="168" formatCode="#,##0.00\ _€;\-#,##0.00\ _€"/>
  </numFmts>
  <fonts count="36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sz val="10"/>
      <color theme="1"/>
      <name val="Arial"/>
      <family val="2"/>
    </font>
    <font>
      <b/>
      <sz val="14"/>
      <color theme="1"/>
      <name val="Arial"/>
      <family val="2"/>
    </font>
    <font>
      <sz val="26"/>
      <color theme="1"/>
      <name val="Wingdings"/>
      <charset val="2"/>
    </font>
    <font>
      <sz val="72"/>
      <color theme="1"/>
      <name val="Aptos"/>
      <family val="2"/>
    </font>
    <font>
      <sz val="11"/>
      <color theme="0"/>
      <name val="Arial"/>
      <family val="2"/>
      <scheme val="minor"/>
    </font>
    <font>
      <b/>
      <sz val="11"/>
      <color theme="0"/>
      <name val="Aptos"/>
      <family val="2"/>
    </font>
    <font>
      <sz val="11"/>
      <color theme="0"/>
      <name val="Aptos"/>
      <family val="2"/>
    </font>
    <font>
      <sz val="11"/>
      <color theme="1"/>
      <name val="Syne"/>
    </font>
    <font>
      <sz val="11"/>
      <color rgb="FF0092FF"/>
      <name val="Syne"/>
    </font>
    <font>
      <b/>
      <sz val="18"/>
      <color theme="1"/>
      <name val="Syne"/>
    </font>
    <font>
      <sz val="10"/>
      <color theme="1"/>
      <name val="Syne"/>
    </font>
    <font>
      <sz val="11"/>
      <color theme="0"/>
      <name val="Syne"/>
    </font>
    <font>
      <b/>
      <sz val="14"/>
      <color theme="1"/>
      <name val="Syne"/>
    </font>
    <font>
      <b/>
      <sz val="11"/>
      <color theme="0"/>
      <name val="Syne"/>
    </font>
    <font>
      <b/>
      <sz val="11"/>
      <color theme="1"/>
      <name val="Syne"/>
    </font>
    <font>
      <b/>
      <sz val="16"/>
      <color theme="0"/>
      <name val="Syne"/>
    </font>
    <font>
      <b/>
      <sz val="14"/>
      <color theme="0"/>
      <name val="Syne"/>
    </font>
    <font>
      <b/>
      <sz val="10"/>
      <color theme="1"/>
      <name val="Syne"/>
    </font>
    <font>
      <b/>
      <i/>
      <sz val="11"/>
      <color theme="1"/>
      <name val="Syne"/>
    </font>
    <font>
      <i/>
      <sz val="8"/>
      <color theme="1"/>
      <name val="Syne"/>
    </font>
    <font>
      <i/>
      <sz val="11"/>
      <color theme="1"/>
      <name val="Syne"/>
    </font>
    <font>
      <i/>
      <sz val="10"/>
      <color theme="1"/>
      <name val="Syne"/>
    </font>
    <font>
      <b/>
      <sz val="10"/>
      <color theme="0"/>
      <name val="Syne"/>
    </font>
    <font>
      <sz val="11"/>
      <color rgb="FF012647"/>
      <name val="Syne"/>
    </font>
    <font>
      <sz val="12"/>
      <color rgb="FF0092FF"/>
      <name val="Syne"/>
    </font>
    <font>
      <b/>
      <sz val="14"/>
      <color rgb="FF012647"/>
      <name val="Syne"/>
    </font>
    <font>
      <sz val="14"/>
      <color rgb="FF012647"/>
      <name val="Syne"/>
    </font>
    <font>
      <b/>
      <sz val="11"/>
      <color theme="1"/>
      <name val="Arial"/>
      <family val="2"/>
      <scheme val="minor"/>
    </font>
    <font>
      <b/>
      <i/>
      <sz val="10"/>
      <color theme="0"/>
      <name val="Syne"/>
    </font>
    <font>
      <sz val="10"/>
      <color theme="0"/>
      <name val="Syne"/>
    </font>
    <font>
      <sz val="12"/>
      <color rgb="FF012647"/>
      <name val="Syne"/>
    </font>
    <font>
      <b/>
      <sz val="28"/>
      <color theme="1"/>
      <name val="Syne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1F2FF"/>
        <bgColor indexed="64"/>
      </patternFill>
    </fill>
    <fill>
      <patternFill patternType="solid">
        <fgColor rgb="FF0092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1264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thin">
        <color indexed="64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rgb="FF012647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/>
    <xf numFmtId="9" fontId="1" fillId="0" borderId="0"/>
    <xf numFmtId="44" fontId="1" fillId="0" borderId="0"/>
  </cellStyleXfs>
  <cellXfs count="191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1" xfId="0" applyFont="1" applyBorder="1" applyAlignment="1">
      <alignment horizontal="center" vertical="top"/>
    </xf>
    <xf numFmtId="4" fontId="3" fillId="2" borderId="0" xfId="0" applyNumberFormat="1" applyFont="1" applyFill="1"/>
    <xf numFmtId="0" fontId="3" fillId="0" borderId="2" xfId="0" applyFont="1" applyBorder="1"/>
    <xf numFmtId="0" fontId="0" fillId="0" borderId="2" xfId="0" applyBorder="1"/>
    <xf numFmtId="0" fontId="4" fillId="0" borderId="0" xfId="0" applyFont="1"/>
    <xf numFmtId="9" fontId="0" fillId="0" borderId="0" xfId="2" applyFont="1"/>
    <xf numFmtId="0" fontId="3" fillId="2" borderId="0" xfId="0" applyFont="1" applyFill="1"/>
    <xf numFmtId="0" fontId="5" fillId="0" borderId="0" xfId="0" applyFont="1"/>
    <xf numFmtId="4" fontId="0" fillId="0" borderId="0" xfId="0" applyNumberFormat="1"/>
    <xf numFmtId="0" fontId="0" fillId="4" borderId="0" xfId="0" applyFill="1"/>
    <xf numFmtId="0" fontId="8" fillId="0" borderId="0" xfId="0" applyFont="1"/>
    <xf numFmtId="0" fontId="4" fillId="0" borderId="17" xfId="0" applyFont="1" applyBorder="1"/>
    <xf numFmtId="0" fontId="7" fillId="0" borderId="17" xfId="0" applyFont="1" applyBorder="1" applyAlignment="1">
      <alignment vertical="center"/>
    </xf>
    <xf numFmtId="4" fontId="2" fillId="0" borderId="0" xfId="0" applyNumberFormat="1" applyFont="1"/>
    <xf numFmtId="4" fontId="0" fillId="2" borderId="0" xfId="0" applyNumberFormat="1" applyFill="1"/>
    <xf numFmtId="9" fontId="3" fillId="0" borderId="0" xfId="2" applyFont="1"/>
    <xf numFmtId="10" fontId="3" fillId="0" borderId="0" xfId="2" applyNumberFormat="1" applyFont="1"/>
    <xf numFmtId="9" fontId="3" fillId="0" borderId="0" xfId="0" applyNumberFormat="1" applyFont="1"/>
    <xf numFmtId="0" fontId="2" fillId="0" borderId="26" xfId="0" applyFont="1" applyBorder="1"/>
    <xf numFmtId="0" fontId="3" fillId="0" borderId="26" xfId="0" applyFont="1" applyBorder="1"/>
    <xf numFmtId="9" fontId="3" fillId="0" borderId="26" xfId="2" applyFont="1" applyBorder="1"/>
    <xf numFmtId="10" fontId="3" fillId="0" borderId="26" xfId="2" applyNumberFormat="1" applyFont="1" applyBorder="1"/>
    <xf numFmtId="0" fontId="3" fillId="0" borderId="1" xfId="0" applyFont="1" applyBorder="1"/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6" borderId="28" xfId="0" applyFont="1" applyFill="1" applyBorder="1" applyAlignment="1">
      <alignment horizontal="center"/>
    </xf>
    <xf numFmtId="0" fontId="2" fillId="7" borderId="28" xfId="0" applyFont="1" applyFill="1" applyBorder="1" applyAlignment="1">
      <alignment horizontal="center"/>
    </xf>
    <xf numFmtId="0" fontId="2" fillId="8" borderId="28" xfId="0" applyFont="1" applyFill="1" applyBorder="1" applyAlignment="1">
      <alignment horizontal="center"/>
    </xf>
    <xf numFmtId="0" fontId="9" fillId="9" borderId="28" xfId="0" applyFont="1" applyFill="1" applyBorder="1" applyAlignment="1">
      <alignment horizontal="center"/>
    </xf>
    <xf numFmtId="164" fontId="3" fillId="0" borderId="0" xfId="2" applyNumberFormat="1" applyFont="1"/>
    <xf numFmtId="0" fontId="3" fillId="0" borderId="1" xfId="0" quotePrefix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9" fontId="3" fillId="0" borderId="1" xfId="2" applyFont="1" applyBorder="1" applyAlignment="1">
      <alignment horizontal="center" vertical="center"/>
    </xf>
    <xf numFmtId="0" fontId="2" fillId="0" borderId="15" xfId="0" applyFont="1" applyBorder="1" applyAlignment="1">
      <alignment horizontal="center"/>
    </xf>
    <xf numFmtId="164" fontId="3" fillId="0" borderId="0" xfId="0" applyNumberFormat="1" applyFont="1"/>
    <xf numFmtId="165" fontId="3" fillId="5" borderId="15" xfId="0" applyNumberFormat="1" applyFont="1" applyFill="1" applyBorder="1" applyAlignment="1">
      <alignment horizontal="center"/>
    </xf>
    <xf numFmtId="166" fontId="3" fillId="0" borderId="0" xfId="0" applyNumberFormat="1" applyFont="1"/>
    <xf numFmtId="0" fontId="3" fillId="0" borderId="29" xfId="0" applyFont="1" applyBorder="1"/>
    <xf numFmtId="0" fontId="3" fillId="0" borderId="30" xfId="0" applyFont="1" applyBorder="1"/>
    <xf numFmtId="0" fontId="3" fillId="0" borderId="31" xfId="0" applyFont="1" applyBorder="1"/>
    <xf numFmtId="0" fontId="2" fillId="0" borderId="19" xfId="0" applyFont="1" applyBorder="1"/>
    <xf numFmtId="0" fontId="2" fillId="0" borderId="15" xfId="0" applyFont="1" applyBorder="1" applyAlignment="1">
      <alignment horizontal="center" vertical="center"/>
    </xf>
    <xf numFmtId="0" fontId="3" fillId="0" borderId="20" xfId="0" applyFont="1" applyBorder="1"/>
    <xf numFmtId="0" fontId="3" fillId="0" borderId="19" xfId="0" applyFont="1" applyBorder="1"/>
    <xf numFmtId="1" fontId="3" fillId="0" borderId="15" xfId="0" applyNumberFormat="1" applyFont="1" applyBorder="1" applyAlignment="1">
      <alignment horizontal="center" vertical="center"/>
    </xf>
    <xf numFmtId="167" fontId="3" fillId="0" borderId="15" xfId="0" applyNumberFormat="1" applyFont="1" applyBorder="1" applyAlignment="1">
      <alignment horizontal="center" vertical="center"/>
    </xf>
    <xf numFmtId="0" fontId="2" fillId="0" borderId="15" xfId="0" applyFont="1" applyBorder="1"/>
    <xf numFmtId="0" fontId="3" fillId="0" borderId="15" xfId="0" applyFont="1" applyBorder="1" applyAlignment="1">
      <alignment horizontal="center"/>
    </xf>
    <xf numFmtId="9" fontId="3" fillId="0" borderId="19" xfId="0" applyNumberFormat="1" applyFont="1" applyBorder="1"/>
    <xf numFmtId="0" fontId="3" fillId="0" borderId="32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/>
    </xf>
    <xf numFmtId="4" fontId="3" fillId="0" borderId="15" xfId="0" applyNumberFormat="1" applyFont="1" applyBorder="1" applyAlignment="1">
      <alignment horizontal="center" vertical="center"/>
    </xf>
    <xf numFmtId="0" fontId="3" fillId="0" borderId="21" xfId="0" applyFont="1" applyBorder="1"/>
    <xf numFmtId="0" fontId="3" fillId="0" borderId="33" xfId="0" applyFont="1" applyBorder="1"/>
    <xf numFmtId="2" fontId="3" fillId="0" borderId="0" xfId="0" applyNumberFormat="1" applyFont="1"/>
    <xf numFmtId="2" fontId="0" fillId="0" borderId="0" xfId="0" applyNumberFormat="1"/>
    <xf numFmtId="0" fontId="3" fillId="6" borderId="0" xfId="0" applyFont="1" applyFill="1"/>
    <xf numFmtId="0" fontId="3" fillId="10" borderId="0" xfId="0" applyFont="1" applyFill="1"/>
    <xf numFmtId="0" fontId="3" fillId="8" borderId="0" xfId="0" applyFont="1" applyFill="1"/>
    <xf numFmtId="0" fontId="10" fillId="9" borderId="0" xfId="0" applyFont="1" applyFill="1"/>
    <xf numFmtId="1" fontId="3" fillId="0" borderId="1" xfId="0" applyNumberFormat="1" applyFont="1" applyBorder="1"/>
    <xf numFmtId="10" fontId="3" fillId="0" borderId="0" xfId="0" applyNumberFormat="1" applyFont="1"/>
    <xf numFmtId="10" fontId="2" fillId="0" borderId="0" xfId="0" applyNumberFormat="1" applyFont="1"/>
    <xf numFmtId="4" fontId="3" fillId="0" borderId="0" xfId="0" applyNumberFormat="1" applyFont="1"/>
    <xf numFmtId="9" fontId="2" fillId="0" borderId="0" xfId="2" applyFont="1"/>
    <xf numFmtId="0" fontId="9" fillId="11" borderId="0" xfId="0" applyFont="1" applyFill="1"/>
    <xf numFmtId="164" fontId="9" fillId="11" borderId="0" xfId="0" applyNumberFormat="1" applyFont="1" applyFill="1"/>
    <xf numFmtId="0" fontId="9" fillId="8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0" xfId="0" applyFont="1"/>
    <xf numFmtId="0" fontId="14" fillId="0" borderId="0" xfId="0" applyFont="1"/>
    <xf numFmtId="1" fontId="15" fillId="0" borderId="0" xfId="0" applyNumberFormat="1" applyFont="1"/>
    <xf numFmtId="0" fontId="15" fillId="0" borderId="0" xfId="0" applyFont="1"/>
    <xf numFmtId="0" fontId="18" fillId="0" borderId="16" xfId="0" applyFont="1" applyBorder="1" applyAlignment="1">
      <alignment horizontal="center" vertical="center"/>
    </xf>
    <xf numFmtId="0" fontId="14" fillId="0" borderId="9" xfId="0" applyFont="1" applyBorder="1"/>
    <xf numFmtId="0" fontId="11" fillId="0" borderId="3" xfId="0" applyFont="1" applyBorder="1"/>
    <xf numFmtId="0" fontId="21" fillId="3" borderId="9" xfId="0" applyFont="1" applyFill="1" applyBorder="1"/>
    <xf numFmtId="10" fontId="22" fillId="3" borderId="3" xfId="2" applyNumberFormat="1" applyFont="1" applyFill="1" applyBorder="1" applyAlignment="1">
      <alignment horizontal="center" vertical="center"/>
    </xf>
    <xf numFmtId="0" fontId="23" fillId="0" borderId="9" xfId="0" applyFont="1" applyBorder="1"/>
    <xf numFmtId="10" fontId="24" fillId="0" borderId="3" xfId="2" applyNumberFormat="1" applyFont="1" applyBorder="1"/>
    <xf numFmtId="0" fontId="24" fillId="0" borderId="3" xfId="0" applyFont="1" applyBorder="1"/>
    <xf numFmtId="0" fontId="23" fillId="0" borderId="10" xfId="0" applyFont="1" applyBorder="1"/>
    <xf numFmtId="10" fontId="24" fillId="0" borderId="4" xfId="2" applyNumberFormat="1" applyFont="1" applyBorder="1"/>
    <xf numFmtId="0" fontId="24" fillId="0" borderId="4" xfId="0" applyFont="1" applyBorder="1"/>
    <xf numFmtId="0" fontId="21" fillId="3" borderId="14" xfId="0" applyFont="1" applyFill="1" applyBorder="1"/>
    <xf numFmtId="10" fontId="22" fillId="3" borderId="5" xfId="2" applyNumberFormat="1" applyFont="1" applyFill="1" applyBorder="1" applyAlignment="1">
      <alignment horizontal="center" vertical="center"/>
    </xf>
    <xf numFmtId="0" fontId="21" fillId="3" borderId="9" xfId="0" quotePrefix="1" applyFont="1" applyFill="1" applyBorder="1"/>
    <xf numFmtId="0" fontId="23" fillId="0" borderId="12" xfId="0" applyFont="1" applyBorder="1"/>
    <xf numFmtId="10" fontId="24" fillId="0" borderId="13" xfId="2" applyNumberFormat="1" applyFont="1" applyBorder="1"/>
    <xf numFmtId="0" fontId="11" fillId="0" borderId="13" xfId="0" applyFont="1" applyBorder="1"/>
    <xf numFmtId="0" fontId="14" fillId="0" borderId="23" xfId="0" applyFont="1" applyBorder="1"/>
    <xf numFmtId="0" fontId="14" fillId="0" borderId="24" xfId="0" applyFont="1" applyBorder="1"/>
    <xf numFmtId="0" fontId="14" fillId="0" borderId="25" xfId="0" applyFont="1" applyBorder="1"/>
    <xf numFmtId="0" fontId="25" fillId="0" borderId="0" xfId="0" applyFont="1" applyAlignment="1">
      <alignment horizontal="center"/>
    </xf>
    <xf numFmtId="9" fontId="24" fillId="0" borderId="3" xfId="2" applyFont="1" applyBorder="1"/>
    <xf numFmtId="0" fontId="24" fillId="0" borderId="3" xfId="0" applyFont="1" applyBorder="1" applyAlignment="1">
      <alignment horizontal="center" vertical="center"/>
    </xf>
    <xf numFmtId="9" fontId="24" fillId="0" borderId="4" xfId="2" applyFont="1" applyBorder="1"/>
    <xf numFmtId="0" fontId="24" fillId="0" borderId="4" xfId="0" applyFont="1" applyBorder="1" applyAlignment="1">
      <alignment horizontal="center" vertical="center"/>
    </xf>
    <xf numFmtId="10" fontId="22" fillId="3" borderId="4" xfId="2" applyNumberFormat="1" applyFont="1" applyFill="1" applyBorder="1" applyAlignment="1">
      <alignment horizontal="center" vertical="center"/>
    </xf>
    <xf numFmtId="0" fontId="21" fillId="3" borderId="11" xfId="0" applyFont="1" applyFill="1" applyBorder="1"/>
    <xf numFmtId="10" fontId="22" fillId="3" borderId="6" xfId="2" applyNumberFormat="1" applyFont="1" applyFill="1" applyBorder="1" applyAlignment="1">
      <alignment horizontal="center" vertical="center"/>
    </xf>
    <xf numFmtId="0" fontId="11" fillId="0" borderId="20" xfId="0" applyFont="1" applyBorder="1"/>
    <xf numFmtId="2" fontId="11" fillId="0" borderId="3" xfId="0" applyNumberFormat="1" applyFont="1" applyBorder="1" applyAlignment="1">
      <alignment horizontal="center" vertical="center"/>
    </xf>
    <xf numFmtId="10" fontId="11" fillId="0" borderId="3" xfId="2" applyNumberFormat="1" applyFont="1" applyBorder="1" applyAlignment="1">
      <alignment horizontal="center" vertical="center"/>
    </xf>
    <xf numFmtId="3" fontId="11" fillId="0" borderId="3" xfId="0" applyNumberFormat="1" applyFont="1" applyBorder="1" applyAlignment="1">
      <alignment horizontal="center" vertical="center"/>
    </xf>
    <xf numFmtId="0" fontId="11" fillId="12" borderId="0" xfId="0" applyFont="1" applyFill="1"/>
    <xf numFmtId="0" fontId="17" fillId="12" borderId="15" xfId="0" applyFont="1" applyFill="1" applyBorder="1" applyAlignment="1">
      <alignment horizontal="left" vertical="center"/>
    </xf>
    <xf numFmtId="0" fontId="19" fillId="12" borderId="8" xfId="0" applyFont="1" applyFill="1" applyBorder="1" applyAlignment="1">
      <alignment horizontal="center" vertical="center" wrapText="1"/>
    </xf>
    <xf numFmtId="0" fontId="20" fillId="12" borderId="7" xfId="0" applyFont="1" applyFill="1" applyBorder="1" applyAlignment="1">
      <alignment horizontal="center" vertical="center" wrapText="1"/>
    </xf>
    <xf numFmtId="0" fontId="17" fillId="12" borderId="8" xfId="0" applyFont="1" applyFill="1" applyBorder="1" applyAlignment="1">
      <alignment horizontal="center" vertical="center" wrapText="1"/>
    </xf>
    <xf numFmtId="0" fontId="20" fillId="12" borderId="7" xfId="0" applyFont="1" applyFill="1" applyBorder="1" applyAlignment="1">
      <alignment horizontal="center" vertical="center"/>
    </xf>
    <xf numFmtId="0" fontId="17" fillId="12" borderId="8" xfId="0" applyFont="1" applyFill="1" applyBorder="1" applyAlignment="1">
      <alignment horizontal="center" vertical="center"/>
    </xf>
    <xf numFmtId="0" fontId="17" fillId="12" borderId="18" xfId="0" applyFont="1" applyFill="1" applyBorder="1" applyAlignment="1">
      <alignment horizontal="center" vertical="center"/>
    </xf>
    <xf numFmtId="0" fontId="11" fillId="12" borderId="0" xfId="0" applyFont="1" applyFill="1" applyAlignment="1">
      <alignment horizontal="centerContinuous"/>
    </xf>
    <xf numFmtId="1" fontId="12" fillId="12" borderId="0" xfId="0" applyNumberFormat="1" applyFont="1" applyFill="1" applyAlignment="1">
      <alignment horizontal="centerContinuous"/>
    </xf>
    <xf numFmtId="0" fontId="19" fillId="12" borderId="0" xfId="0" applyFont="1" applyFill="1" applyAlignment="1">
      <alignment horizontal="centerContinuous" vertical="center"/>
    </xf>
    <xf numFmtId="0" fontId="16" fillId="0" borderId="34" xfId="0" applyFont="1" applyBorder="1"/>
    <xf numFmtId="1" fontId="0" fillId="0" borderId="0" xfId="0" applyNumberFormat="1"/>
    <xf numFmtId="0" fontId="27" fillId="0" borderId="0" xfId="0" applyFont="1"/>
    <xf numFmtId="0" fontId="0" fillId="2" borderId="0" xfId="0" applyFill="1"/>
    <xf numFmtId="0" fontId="29" fillId="0" borderId="0" xfId="0" applyFont="1" applyAlignment="1">
      <alignment horizontal="center" vertical="center"/>
    </xf>
    <xf numFmtId="7" fontId="30" fillId="0" borderId="0" xfId="3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167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7" fillId="9" borderId="0" xfId="0" applyFont="1" applyFill="1"/>
    <xf numFmtId="43" fontId="17" fillId="13" borderId="0" xfId="1" applyFont="1" applyFill="1"/>
    <xf numFmtId="0" fontId="17" fillId="14" borderId="0" xfId="0" applyFont="1" applyFill="1"/>
    <xf numFmtId="0" fontId="21" fillId="15" borderId="9" xfId="0" applyFont="1" applyFill="1" applyBorder="1"/>
    <xf numFmtId="0" fontId="18" fillId="15" borderId="3" xfId="0" applyFont="1" applyFill="1" applyBorder="1" applyAlignment="1">
      <alignment vertical="center"/>
    </xf>
    <xf numFmtId="0" fontId="26" fillId="13" borderId="9" xfId="0" applyFont="1" applyFill="1" applyBorder="1"/>
    <xf numFmtId="0" fontId="17" fillId="13" borderId="3" xfId="0" applyFont="1" applyFill="1" applyBorder="1"/>
    <xf numFmtId="0" fontId="18" fillId="15" borderId="3" xfId="0" applyFont="1" applyFill="1" applyBorder="1" applyAlignment="1">
      <alignment horizontal="center" vertical="center"/>
    </xf>
    <xf numFmtId="0" fontId="33" fillId="13" borderId="20" xfId="0" applyFont="1" applyFill="1" applyBorder="1"/>
    <xf numFmtId="0" fontId="15" fillId="13" borderId="20" xfId="0" applyFont="1" applyFill="1" applyBorder="1" applyAlignment="1">
      <alignment horizontal="center" vertical="center"/>
    </xf>
    <xf numFmtId="1" fontId="11" fillId="0" borderId="3" xfId="0" applyNumberFormat="1" applyFont="1" applyBorder="1" applyAlignment="1">
      <alignment horizontal="center" vertical="center"/>
    </xf>
    <xf numFmtId="1" fontId="11" fillId="0" borderId="22" xfId="0" applyNumberFormat="1" applyFont="1" applyBorder="1" applyAlignment="1">
      <alignment horizontal="center" vertical="center"/>
    </xf>
    <xf numFmtId="0" fontId="17" fillId="12" borderId="35" xfId="0" applyFont="1" applyFill="1" applyBorder="1" applyAlignment="1">
      <alignment horizontal="center" vertical="center"/>
    </xf>
    <xf numFmtId="2" fontId="11" fillId="0" borderId="20" xfId="0" applyNumberFormat="1" applyFont="1" applyBorder="1" applyAlignment="1">
      <alignment horizontal="center" vertical="center"/>
    </xf>
    <xf numFmtId="10" fontId="11" fillId="0" borderId="20" xfId="2" applyNumberFormat="1" applyFont="1" applyBorder="1" applyAlignment="1">
      <alignment horizontal="center" vertical="center"/>
    </xf>
    <xf numFmtId="3" fontId="11" fillId="0" borderId="20" xfId="0" applyNumberFormat="1" applyFont="1" applyBorder="1" applyAlignment="1">
      <alignment horizontal="center" vertical="center"/>
    </xf>
    <xf numFmtId="1" fontId="11" fillId="0" borderId="20" xfId="0" applyNumberFormat="1" applyFont="1" applyBorder="1" applyAlignment="1">
      <alignment horizontal="center" vertical="center"/>
    </xf>
    <xf numFmtId="1" fontId="11" fillId="0" borderId="33" xfId="0" applyNumberFormat="1" applyFont="1" applyBorder="1" applyAlignment="1">
      <alignment horizontal="center" vertical="center"/>
    </xf>
    <xf numFmtId="0" fontId="26" fillId="12" borderId="18" xfId="0" applyFont="1" applyFill="1" applyBorder="1" applyAlignment="1">
      <alignment horizontal="center" vertical="center"/>
    </xf>
    <xf numFmtId="0" fontId="32" fillId="13" borderId="3" xfId="0" applyFont="1" applyFill="1" applyBorder="1"/>
    <xf numFmtId="0" fontId="14" fillId="0" borderId="3" xfId="0" applyFont="1" applyBorder="1"/>
    <xf numFmtId="0" fontId="14" fillId="0" borderId="22" xfId="0" applyFont="1" applyBorder="1"/>
    <xf numFmtId="0" fontId="33" fillId="13" borderId="3" xfId="0" applyFont="1" applyFill="1" applyBorder="1"/>
    <xf numFmtId="0" fontId="15" fillId="13" borderId="3" xfId="0" applyFont="1" applyFill="1" applyBorder="1" applyAlignment="1">
      <alignment horizontal="center" vertical="center"/>
    </xf>
    <xf numFmtId="0" fontId="15" fillId="13" borderId="3" xfId="0" applyFont="1" applyFill="1" applyBorder="1"/>
    <xf numFmtId="2" fontId="11" fillId="0" borderId="3" xfId="0" applyNumberFormat="1" applyFont="1" applyBorder="1" applyAlignment="1">
      <alignment horizontal="center"/>
    </xf>
    <xf numFmtId="2" fontId="11" fillId="0" borderId="22" xfId="0" applyNumberFormat="1" applyFont="1" applyBorder="1" applyAlignment="1">
      <alignment horizontal="center"/>
    </xf>
    <xf numFmtId="0" fontId="31" fillId="0" borderId="0" xfId="0" applyFont="1"/>
    <xf numFmtId="0" fontId="14" fillId="0" borderId="12" xfId="0" applyFont="1" applyBorder="1" applyAlignment="1">
      <alignment vertical="center"/>
    </xf>
    <xf numFmtId="0" fontId="11" fillId="0" borderId="13" xfId="1" applyNumberFormat="1" applyFont="1" applyBorder="1" applyAlignment="1">
      <alignment vertical="center"/>
    </xf>
    <xf numFmtId="10" fontId="11" fillId="0" borderId="13" xfId="2" applyNumberFormat="1" applyFont="1" applyBorder="1" applyAlignment="1">
      <alignment vertical="center"/>
    </xf>
    <xf numFmtId="3" fontId="11" fillId="3" borderId="3" xfId="1" applyNumberFormat="1" applyFont="1" applyFill="1" applyBorder="1"/>
    <xf numFmtId="3" fontId="18" fillId="3" borderId="3" xfId="1" applyNumberFormat="1" applyFont="1" applyFill="1" applyBorder="1"/>
    <xf numFmtId="3" fontId="11" fillId="3" borderId="5" xfId="1" applyNumberFormat="1" applyFont="1" applyFill="1" applyBorder="1"/>
    <xf numFmtId="3" fontId="18" fillId="3" borderId="6" xfId="1" applyNumberFormat="1" applyFont="1" applyFill="1" applyBorder="1"/>
    <xf numFmtId="3" fontId="11" fillId="3" borderId="4" xfId="1" applyNumberFormat="1" applyFont="1" applyFill="1" applyBorder="1"/>
    <xf numFmtId="1" fontId="35" fillId="0" borderId="17" xfId="0" applyNumberFormat="1" applyFont="1" applyBorder="1" applyAlignment="1">
      <alignment horizontal="center" vertical="center"/>
    </xf>
    <xf numFmtId="0" fontId="17" fillId="13" borderId="0" xfId="0" applyFont="1" applyFill="1"/>
    <xf numFmtId="0" fontId="19" fillId="12" borderId="0" xfId="0" applyFont="1" applyFill="1" applyAlignment="1">
      <alignment horizontal="center" vertical="center"/>
    </xf>
    <xf numFmtId="4" fontId="18" fillId="0" borderId="0" xfId="0" applyNumberFormat="1" applyFont="1" applyAlignment="1">
      <alignment horizontal="center" vertical="center"/>
    </xf>
    <xf numFmtId="0" fontId="34" fillId="0" borderId="0" xfId="0" applyFont="1" applyAlignment="1">
      <alignment vertical="top" wrapText="1"/>
    </xf>
    <xf numFmtId="0" fontId="16" fillId="0" borderId="34" xfId="0" applyFont="1" applyBorder="1" applyAlignment="1">
      <alignment vertical="center"/>
    </xf>
    <xf numFmtId="0" fontId="6" fillId="0" borderId="15" xfId="0" applyFont="1" applyBorder="1" applyAlignment="1">
      <alignment vertical="center"/>
    </xf>
    <xf numFmtId="0" fontId="0" fillId="9" borderId="0" xfId="0" applyFill="1"/>
    <xf numFmtId="168" fontId="0" fillId="2" borderId="0" xfId="1" applyNumberFormat="1" applyFont="1" applyFill="1"/>
    <xf numFmtId="4" fontId="3" fillId="7" borderId="0" xfId="0" applyNumberFormat="1" applyFont="1" applyFill="1"/>
    <xf numFmtId="0" fontId="3" fillId="7" borderId="0" xfId="0" applyFont="1" applyFill="1"/>
    <xf numFmtId="0" fontId="2" fillId="0" borderId="15" xfId="0" applyFont="1" applyBorder="1" applyAlignment="1">
      <alignment horizontal="center"/>
    </xf>
    <xf numFmtId="0" fontId="0" fillId="0" borderId="27" xfId="0" applyBorder="1"/>
    <xf numFmtId="0" fontId="0" fillId="0" borderId="16" xfId="0" applyBorder="1"/>
    <xf numFmtId="0" fontId="34" fillId="0" borderId="0" xfId="0" applyFont="1" applyAlignment="1">
      <alignment horizontal="center" vertical="top" wrapText="1"/>
    </xf>
    <xf numFmtId="0" fontId="0" fillId="0" borderId="0" xfId="0"/>
  </cellXfs>
  <cellStyles count="4">
    <cellStyle name="Migliaia" xfId="1" builtinId="3"/>
    <cellStyle name="Normale" xfId="0" builtinId="0"/>
    <cellStyle name="Percentuale" xfId="2" builtinId="5"/>
    <cellStyle name="Valuta" xfId="3" builtinId="4"/>
  </cellStyles>
  <dxfs count="37">
    <dxf>
      <font>
        <color rgb="FFFF0000"/>
      </font>
    </dxf>
    <dxf>
      <font>
        <color theme="7"/>
      </font>
    </dxf>
    <dxf>
      <font>
        <color rgb="FF00B050"/>
      </font>
    </dxf>
    <dxf>
      <font>
        <color auto="1"/>
      </font>
    </dxf>
    <dxf>
      <font>
        <color rgb="FFFF0000"/>
      </font>
    </dxf>
    <dxf>
      <font>
        <color theme="0"/>
      </font>
    </dxf>
    <dxf>
      <font>
        <color theme="7" tint="-0.24994659260841701"/>
      </font>
    </dxf>
    <dxf>
      <font>
        <color theme="7" tint="-0.24994659260841701"/>
      </font>
    </dxf>
    <dxf>
      <font>
        <color theme="6" tint="-0.24994659260841701"/>
      </font>
    </dxf>
    <dxf>
      <font>
        <color rgb="FF00B050"/>
      </font>
    </dxf>
    <dxf>
      <font>
        <color rgb="FF00B050"/>
      </font>
    </dxf>
    <dxf>
      <font>
        <color theme="0"/>
      </font>
    </dxf>
    <dxf>
      <font>
        <color theme="7" tint="-0.24994659260841701"/>
      </font>
    </dxf>
    <dxf>
      <font>
        <color rgb="FF00B050"/>
      </font>
    </dxf>
    <dxf>
      <font>
        <color rgb="FF00B050"/>
      </font>
    </dxf>
    <dxf>
      <font>
        <color theme="7" tint="-0.24994659260841701"/>
      </font>
    </dxf>
    <dxf>
      <font>
        <color theme="7" tint="-0.24994659260841701"/>
      </font>
    </dxf>
    <dxf>
      <font>
        <color theme="6" tint="-0.24994659260841701"/>
      </font>
    </dxf>
    <dxf>
      <font>
        <color theme="7" tint="-0.24994659260841701"/>
      </font>
    </dxf>
    <dxf>
      <font>
        <color theme="0"/>
      </font>
    </dxf>
    <dxf>
      <font>
        <color theme="7" tint="-0.24994659260841701"/>
      </font>
    </dxf>
    <dxf>
      <font>
        <color theme="7" tint="-0.24994659260841701"/>
      </font>
    </dxf>
    <dxf>
      <font>
        <color rgb="FF00B050"/>
      </font>
    </dxf>
    <dxf>
      <font>
        <color rgb="FF00B050"/>
      </font>
    </dxf>
    <dxf>
      <font>
        <color theme="6" tint="-0.24994659260841701"/>
      </font>
    </dxf>
    <dxf>
      <font>
        <color theme="0"/>
      </font>
    </dxf>
    <dxf>
      <font>
        <color theme="7" tint="-0.24994659260841701"/>
      </font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1"/>
  <c:style val="2"/>
  <c:chart>
    <c:autoTitleDeleted val="1"/>
    <c:plotArea>
      <c:layout/>
      <c:doughnut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6F6-4128-822B-0464C06D78AD}"/>
              </c:ext>
            </c:extLst>
          </c:dPt>
          <c:dPt>
            <c:idx val="1"/>
            <c:bubble3D val="0"/>
            <c:spPr>
              <a:solidFill>
                <a:schemeClr val="tx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6F6-4128-822B-0464C06D78AD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6F6-4128-822B-0464C06D78AD}"/>
              </c:ext>
            </c:extLst>
          </c:dPt>
          <c:val>
            <c:numRef>
              <c:f>Input!$E$112:$E$114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6F6-4128-822B-0464C06D78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3"/>
      </c:doughnutChart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1"/>
  <c:style val="2"/>
  <c:chart>
    <c:autoTitleDeleted val="1"/>
    <c:plotArea>
      <c:layout/>
      <c:doughnut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3">
                  <a:lumMod val="75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7B0-48B8-8273-2216D602C48A}"/>
              </c:ext>
            </c:extLst>
          </c:dPt>
          <c:dPt>
            <c:idx val="1"/>
            <c:bubble3D val="0"/>
            <c:spPr>
              <a:solidFill>
                <a:schemeClr val="tx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7B0-48B8-8273-2216D602C48A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7B0-48B8-8273-2216D602C48A}"/>
              </c:ext>
            </c:extLst>
          </c:dPt>
          <c:val>
            <c:numRef>
              <c:f>Input!$D$112:$D$114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7B0-48B8-8273-2216D602C4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3"/>
      </c:doughnutChart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1"/>
  <c:style val="2"/>
  <c:chart>
    <c:autoTitleDeleted val="1"/>
    <c:plotArea>
      <c:layout/>
      <c:doughnut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4">
                  <a:lumMod val="75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717-4EA7-B4E0-2756532FA152}"/>
              </c:ext>
            </c:extLst>
          </c:dPt>
          <c:dPt>
            <c:idx val="1"/>
            <c:bubble3D val="0"/>
            <c:spPr>
              <a:solidFill>
                <a:schemeClr val="tx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717-4EA7-B4E0-2756532FA152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717-4EA7-B4E0-2756532FA152}"/>
              </c:ext>
            </c:extLst>
          </c:dPt>
          <c:val>
            <c:numRef>
              <c:f>Input!$C$112:$C$114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717-4EA7-B4E0-2756532FA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3"/>
      </c:doughnutChart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1"/>
  <c:style val="2"/>
  <c:chart>
    <c:autoTitleDeleted val="1"/>
    <c:plotArea>
      <c:layout/>
      <c:doughnut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4EE-4398-89E8-7F5BFD55DF8A}"/>
              </c:ext>
            </c:extLst>
          </c:dPt>
          <c:dPt>
            <c:idx val="1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4EE-4398-89E8-7F5BFD55DF8A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4EE-4398-89E8-7F5BFD55DF8A}"/>
              </c:ext>
            </c:extLst>
          </c:dPt>
          <c:val>
            <c:numRef>
              <c:f>Input!$B$112:$B$114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4EE-4398-89E8-7F5BFD55D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3"/>
      </c:doughnutChart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1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1224915</xdr:colOff>
      <xdr:row>12</xdr:row>
      <xdr:rowOff>149227</xdr:rowOff>
    </xdr:from>
    <xdr:to>
      <xdr:col>4</xdr:col>
      <xdr:colOff>494903</xdr:colOff>
      <xdr:row>17</xdr:row>
      <xdr:rowOff>136051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1217295</xdr:colOff>
      <xdr:row>12</xdr:row>
      <xdr:rowOff>158356</xdr:rowOff>
    </xdr:from>
    <xdr:to>
      <xdr:col>4</xdr:col>
      <xdr:colOff>494903</xdr:colOff>
      <xdr:row>17</xdr:row>
      <xdr:rowOff>120018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1178641</xdr:colOff>
      <xdr:row>12</xdr:row>
      <xdr:rowOff>132478</xdr:rowOff>
    </xdr:from>
    <xdr:to>
      <xdr:col>4</xdr:col>
      <xdr:colOff>559119</xdr:colOff>
      <xdr:row>18</xdr:row>
      <xdr:rowOff>22623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1216899</xdr:colOff>
      <xdr:row>12</xdr:row>
      <xdr:rowOff>153433</xdr:rowOff>
    </xdr:from>
    <xdr:to>
      <xdr:col>4</xdr:col>
      <xdr:colOff>530702</xdr:colOff>
      <xdr:row>17</xdr:row>
      <xdr:rowOff>146449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1516381</xdr:colOff>
      <xdr:row>0</xdr:row>
      <xdr:rowOff>92003</xdr:rowOff>
    </xdr:from>
    <xdr:to>
      <xdr:col>3</xdr:col>
      <xdr:colOff>2001806</xdr:colOff>
      <xdr:row>0</xdr:row>
      <xdr:rowOff>381000</xdr:rowOff>
    </xdr:to>
    <xdr:pic>
      <xdr:nvPicPr>
        <xdr:cNvPr id="18" name="Immagine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7479031" y="92003"/>
          <a:ext cx="485425" cy="288997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3</xdr:col>
      <xdr:colOff>1578770</xdr:colOff>
      <xdr:row>56</xdr:row>
      <xdr:rowOff>34767</xdr:rowOff>
    </xdr:from>
    <xdr:to>
      <xdr:col>3</xdr:col>
      <xdr:colOff>2003237</xdr:colOff>
      <xdr:row>56</xdr:row>
      <xdr:rowOff>306704</xdr:rowOff>
    </xdr:to>
    <xdr:pic>
      <xdr:nvPicPr>
        <xdr:cNvPr id="21" name="Immagine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7541420" y="12741117"/>
          <a:ext cx="433992" cy="271937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3</xdr:col>
      <xdr:colOff>1607820</xdr:colOff>
      <xdr:row>184</xdr:row>
      <xdr:rowOff>55245</xdr:rowOff>
    </xdr:from>
    <xdr:to>
      <xdr:col>3</xdr:col>
      <xdr:colOff>2022762</xdr:colOff>
      <xdr:row>184</xdr:row>
      <xdr:rowOff>330992</xdr:rowOff>
    </xdr:to>
    <xdr:pic>
      <xdr:nvPicPr>
        <xdr:cNvPr id="6" name="Immagine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7570470" y="38593395"/>
          <a:ext cx="414942" cy="27574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Word">
  <a:themeElements>
    <a:clrScheme name="VEM_VISUAL IDENTITY 2025">
      <a:dk1>
        <a:srgbClr val="012647"/>
      </a:dk1>
      <a:lt1>
        <a:srgbClr val="FFFFFF"/>
      </a:lt1>
      <a:dk2>
        <a:srgbClr val="596782"/>
      </a:dk2>
      <a:lt2>
        <a:srgbClr val="0091FF"/>
      </a:lt2>
      <a:accent1>
        <a:srgbClr val="57C88B"/>
      </a:accent1>
      <a:accent2>
        <a:srgbClr val="184777"/>
      </a:accent2>
      <a:accent3>
        <a:srgbClr val="FFE67E"/>
      </a:accent3>
      <a:accent4>
        <a:srgbClr val="EF6D7F"/>
      </a:accent4>
      <a:accent5>
        <a:srgbClr val="B6337D"/>
      </a:accent5>
      <a:accent6>
        <a:srgbClr val="00B3FF"/>
      </a:accent6>
      <a:hlink>
        <a:srgbClr val="FFFFFF"/>
      </a:hlink>
      <a:folHlink>
        <a:srgbClr val="FFFFFF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2"/>
  <dimension ref="A1:Q143"/>
  <sheetViews>
    <sheetView tabSelected="1" topLeftCell="A101" workbookViewId="0">
      <selection activeCell="E114" sqref="B111:E114"/>
    </sheetView>
  </sheetViews>
  <sheetFormatPr defaultColWidth="8.875" defaultRowHeight="14.25" x14ac:dyDescent="0.2"/>
  <cols>
    <col min="1" max="1" width="50.5" customWidth="1"/>
    <col min="2" max="2" width="15.375" customWidth="1"/>
    <col min="3" max="4" width="14.125" customWidth="1"/>
    <col min="5" max="5" width="18" customWidth="1"/>
    <col min="6" max="6" width="18.375" customWidth="1"/>
    <col min="7" max="7" width="12.625" customWidth="1"/>
    <col min="8" max="8" width="18.125" customWidth="1"/>
    <col min="9" max="9" width="13.5" customWidth="1"/>
    <col min="10" max="10" width="11.625" customWidth="1"/>
    <col min="12" max="12" width="11.5" customWidth="1"/>
    <col min="13" max="13" width="14.625" customWidth="1"/>
    <col min="16" max="16" width="15" customWidth="1"/>
    <col min="17" max="17" width="25.875" customWidth="1"/>
    <col min="18" max="18" width="44.5" customWidth="1"/>
    <col min="19" max="19" width="27.625" bestFit="1" customWidth="1"/>
  </cols>
  <sheetData>
    <row r="1" spans="1:7" ht="15" customHeight="1" x14ac:dyDescent="0.25">
      <c r="A1" s="1" t="s">
        <v>0</v>
      </c>
      <c r="B1" s="9"/>
      <c r="C1" s="166" t="s">
        <v>1</v>
      </c>
      <c r="D1" s="166" t="s">
        <v>2</v>
      </c>
      <c r="E1" s="166" t="s">
        <v>3</v>
      </c>
    </row>
    <row r="2" spans="1:7" ht="15" customHeight="1" x14ac:dyDescent="0.25">
      <c r="A2" s="1" t="s">
        <v>4</v>
      </c>
      <c r="B2" s="9"/>
      <c r="C2" s="133" t="s">
        <v>5</v>
      </c>
      <c r="D2" s="133"/>
      <c r="E2" s="183"/>
    </row>
    <row r="4" spans="1:7" ht="15" customHeight="1" x14ac:dyDescent="0.25">
      <c r="A4" s="1" t="s">
        <v>6</v>
      </c>
      <c r="B4" s="2"/>
      <c r="C4" s="2"/>
      <c r="D4" s="2"/>
      <c r="E4" s="2"/>
    </row>
    <row r="5" spans="1:7" ht="15" customHeight="1" x14ac:dyDescent="0.25">
      <c r="A5" s="2"/>
      <c r="B5" s="2"/>
      <c r="C5" s="2"/>
      <c r="D5" s="2"/>
      <c r="E5" s="2"/>
    </row>
    <row r="6" spans="1:7" ht="15.75" customHeight="1" x14ac:dyDescent="0.25">
      <c r="A6" s="3" t="s">
        <v>7</v>
      </c>
      <c r="B6" s="3">
        <f>$B$2</f>
        <v>0</v>
      </c>
      <c r="C6" s="3">
        <f>$B$6-1</f>
        <v>-1</v>
      </c>
      <c r="D6" s="3">
        <f>$B$6-2</f>
        <v>-2</v>
      </c>
      <c r="E6" s="2"/>
    </row>
    <row r="7" spans="1:7" ht="15" customHeight="1" x14ac:dyDescent="0.25">
      <c r="A7" s="2" t="s">
        <v>8</v>
      </c>
      <c r="B7" s="4">
        <v>0</v>
      </c>
      <c r="C7" s="4">
        <v>0</v>
      </c>
      <c r="D7" s="4"/>
      <c r="E7" s="2"/>
    </row>
    <row r="8" spans="1:7" ht="15" customHeight="1" x14ac:dyDescent="0.25">
      <c r="A8" s="2" t="s">
        <v>9</v>
      </c>
      <c r="B8" s="4">
        <v>0</v>
      </c>
      <c r="C8" s="4">
        <v>0</v>
      </c>
      <c r="D8" s="4"/>
      <c r="E8" s="2"/>
    </row>
    <row r="9" spans="1:7" ht="15" customHeight="1" x14ac:dyDescent="0.25">
      <c r="A9" s="2" t="s">
        <v>10</v>
      </c>
      <c r="B9" s="4">
        <v>0</v>
      </c>
      <c r="C9" s="4">
        <v>0</v>
      </c>
      <c r="D9" s="4"/>
      <c r="E9" s="2"/>
    </row>
    <row r="10" spans="1:7" ht="15" customHeight="1" x14ac:dyDescent="0.25">
      <c r="A10" s="2" t="s">
        <v>11</v>
      </c>
      <c r="B10" s="4">
        <v>0</v>
      </c>
      <c r="C10" s="4">
        <v>0</v>
      </c>
      <c r="D10" s="4"/>
      <c r="E10" s="2"/>
    </row>
    <row r="11" spans="1:7" ht="15" customHeight="1" x14ac:dyDescent="0.25">
      <c r="A11" s="2" t="s">
        <v>12</v>
      </c>
      <c r="B11" s="4">
        <v>0</v>
      </c>
      <c r="C11" s="4">
        <v>0</v>
      </c>
      <c r="D11" s="4"/>
      <c r="E11" s="2"/>
    </row>
    <row r="12" spans="1:7" ht="15" customHeight="1" x14ac:dyDescent="0.25">
      <c r="A12" s="2" t="s">
        <v>13</v>
      </c>
      <c r="B12" s="4">
        <v>0</v>
      </c>
      <c r="C12" s="4">
        <v>0</v>
      </c>
      <c r="D12" s="4"/>
      <c r="E12" s="2"/>
    </row>
    <row r="13" spans="1:7" ht="15" customHeight="1" x14ac:dyDescent="0.25">
      <c r="A13" s="2" t="s">
        <v>14</v>
      </c>
      <c r="B13" s="4">
        <v>0</v>
      </c>
      <c r="C13" s="4">
        <v>0</v>
      </c>
      <c r="D13" s="4"/>
      <c r="E13" s="2"/>
    </row>
    <row r="14" spans="1:7" ht="15" customHeight="1" x14ac:dyDescent="0.25">
      <c r="A14" s="2" t="s">
        <v>15</v>
      </c>
      <c r="B14" s="4">
        <v>0</v>
      </c>
      <c r="C14" s="4">
        <v>0</v>
      </c>
      <c r="D14" s="4"/>
      <c r="E14" s="72"/>
      <c r="F14" s="72"/>
      <c r="G14" s="11"/>
    </row>
    <row r="15" spans="1:7" ht="15" customHeight="1" x14ac:dyDescent="0.25">
      <c r="A15" s="2" t="s">
        <v>16</v>
      </c>
      <c r="B15" s="4">
        <v>0</v>
      </c>
      <c r="C15" s="4">
        <v>0</v>
      </c>
      <c r="D15" s="4"/>
      <c r="E15" s="2"/>
    </row>
    <row r="16" spans="1:7" ht="15" customHeight="1" x14ac:dyDescent="0.25">
      <c r="A16" s="2" t="s">
        <v>17</v>
      </c>
      <c r="B16" s="4">
        <v>0</v>
      </c>
      <c r="C16" s="4">
        <v>0</v>
      </c>
      <c r="D16" s="4"/>
      <c r="E16" s="2"/>
    </row>
    <row r="17" spans="1:7" ht="15" customHeight="1" x14ac:dyDescent="0.25">
      <c r="A17" s="2" t="s">
        <v>18</v>
      </c>
      <c r="B17" s="4">
        <v>0</v>
      </c>
      <c r="C17" s="4">
        <v>0</v>
      </c>
      <c r="D17" s="4"/>
      <c r="E17" s="2"/>
    </row>
    <row r="18" spans="1:7" ht="15" customHeight="1" x14ac:dyDescent="0.25">
      <c r="A18" s="2" t="s">
        <v>19</v>
      </c>
      <c r="B18" s="4">
        <v>0</v>
      </c>
      <c r="C18" s="4">
        <v>0</v>
      </c>
      <c r="D18" s="4"/>
      <c r="E18" s="2"/>
    </row>
    <row r="19" spans="1:7" ht="15" customHeight="1" x14ac:dyDescent="0.25">
      <c r="A19" s="2" t="s">
        <v>20</v>
      </c>
      <c r="B19" s="4">
        <v>0</v>
      </c>
      <c r="C19" s="4">
        <v>0</v>
      </c>
      <c r="D19" s="4"/>
      <c r="E19" s="2"/>
    </row>
    <row r="20" spans="1:7" ht="15" customHeight="1" x14ac:dyDescent="0.25">
      <c r="A20" s="2" t="s">
        <v>21</v>
      </c>
      <c r="B20" s="4">
        <v>0</v>
      </c>
      <c r="C20" s="4">
        <v>0</v>
      </c>
      <c r="D20" s="4"/>
      <c r="E20" s="2"/>
    </row>
    <row r="21" spans="1:7" ht="15" customHeight="1" x14ac:dyDescent="0.25">
      <c r="A21" s="2" t="s">
        <v>22</v>
      </c>
      <c r="B21" s="9">
        <v>0</v>
      </c>
      <c r="C21" s="9">
        <v>0</v>
      </c>
      <c r="D21" s="9"/>
      <c r="E21" s="2"/>
    </row>
    <row r="22" spans="1:7" s="6" customFormat="1" ht="15.95" customHeight="1" thickBot="1" x14ac:dyDescent="0.3">
      <c r="A22" s="5"/>
      <c r="B22" s="5"/>
      <c r="C22" s="5"/>
      <c r="D22" s="5"/>
      <c r="E22" s="5"/>
    </row>
    <row r="23" spans="1:7" ht="15" customHeight="1" x14ac:dyDescent="0.25">
      <c r="A23" s="2"/>
      <c r="B23" s="2"/>
      <c r="C23" s="2"/>
      <c r="D23" s="2"/>
      <c r="E23" s="2"/>
    </row>
    <row r="24" spans="1:7" ht="15" customHeight="1" x14ac:dyDescent="0.25">
      <c r="A24" s="1" t="s">
        <v>23</v>
      </c>
      <c r="B24" s="2"/>
      <c r="C24" s="2"/>
      <c r="D24" s="2"/>
      <c r="E24" s="2"/>
    </row>
    <row r="25" spans="1:7" ht="15" customHeight="1" x14ac:dyDescent="0.25">
      <c r="A25" s="2"/>
      <c r="B25" s="2"/>
      <c r="C25" s="2"/>
      <c r="D25" s="2"/>
      <c r="E25" s="2"/>
    </row>
    <row r="26" spans="1:7" ht="15" customHeight="1" x14ac:dyDescent="0.25">
      <c r="A26" s="3" t="s">
        <v>7</v>
      </c>
      <c r="B26" s="3">
        <f>$B$6</f>
        <v>0</v>
      </c>
      <c r="C26" s="3">
        <f>$C$6</f>
        <v>-1</v>
      </c>
      <c r="D26" s="3">
        <f>$D$6</f>
        <v>-2</v>
      </c>
      <c r="E26" s="2"/>
    </row>
    <row r="27" spans="1:7" ht="15" customHeight="1" x14ac:dyDescent="0.25">
      <c r="A27" s="2" t="s">
        <v>24</v>
      </c>
      <c r="B27" s="4">
        <v>0</v>
      </c>
      <c r="C27" s="4">
        <v>0</v>
      </c>
      <c r="D27" s="4"/>
      <c r="E27" s="2"/>
    </row>
    <row r="28" spans="1:7" ht="15" customHeight="1" x14ac:dyDescent="0.25">
      <c r="A28" s="2" t="s">
        <v>25</v>
      </c>
      <c r="B28" s="4">
        <v>0</v>
      </c>
      <c r="C28" s="4">
        <v>0</v>
      </c>
      <c r="D28" s="4"/>
      <c r="E28" s="2"/>
      <c r="F28" s="11"/>
      <c r="G28" s="11"/>
    </row>
    <row r="29" spans="1:7" ht="15" customHeight="1" x14ac:dyDescent="0.25">
      <c r="A29" s="2" t="s">
        <v>26</v>
      </c>
      <c r="B29" s="4">
        <v>0</v>
      </c>
      <c r="C29" s="4">
        <v>0</v>
      </c>
      <c r="D29" s="4"/>
      <c r="E29" s="2"/>
    </row>
    <row r="30" spans="1:7" ht="15" customHeight="1" x14ac:dyDescent="0.25">
      <c r="A30" s="2" t="s">
        <v>27</v>
      </c>
      <c r="B30" s="4">
        <v>0</v>
      </c>
      <c r="C30" s="4">
        <v>0</v>
      </c>
      <c r="D30" s="4"/>
      <c r="E30" s="2"/>
    </row>
    <row r="31" spans="1:7" ht="15" customHeight="1" x14ac:dyDescent="0.25">
      <c r="A31" s="2" t="s">
        <v>28</v>
      </c>
      <c r="B31" s="4">
        <v>0</v>
      </c>
      <c r="C31" s="4">
        <v>0</v>
      </c>
      <c r="D31" s="4"/>
      <c r="E31" s="2"/>
      <c r="F31" s="11"/>
    </row>
    <row r="32" spans="1:7" ht="15" customHeight="1" x14ac:dyDescent="0.25">
      <c r="A32" s="2" t="s">
        <v>29</v>
      </c>
      <c r="B32" s="4">
        <v>0</v>
      </c>
      <c r="C32" s="4">
        <v>0</v>
      </c>
      <c r="D32" s="4"/>
      <c r="E32" s="2"/>
      <c r="F32" s="11"/>
    </row>
    <row r="33" spans="1:10" ht="15" customHeight="1" x14ac:dyDescent="0.25">
      <c r="A33" s="2" t="s">
        <v>30</v>
      </c>
      <c r="B33" s="4">
        <v>0</v>
      </c>
      <c r="C33" s="4">
        <v>0</v>
      </c>
      <c r="D33" s="4"/>
      <c r="E33" s="2"/>
      <c r="F33" s="11"/>
    </row>
    <row r="34" spans="1:10" ht="15" customHeight="1" x14ac:dyDescent="0.25">
      <c r="A34" s="2" t="s">
        <v>31</v>
      </c>
      <c r="B34" s="4">
        <v>0</v>
      </c>
      <c r="C34" s="4">
        <v>0</v>
      </c>
      <c r="D34" s="4"/>
      <c r="E34" s="2"/>
      <c r="F34" s="11"/>
    </row>
    <row r="35" spans="1:10" ht="15" customHeight="1" x14ac:dyDescent="0.25">
      <c r="A35" s="2" t="s">
        <v>32</v>
      </c>
      <c r="B35" s="4">
        <v>0</v>
      </c>
      <c r="C35" s="4">
        <v>0</v>
      </c>
      <c r="D35" s="4"/>
      <c r="E35" s="2"/>
      <c r="F35" s="11"/>
      <c r="H35" s="11"/>
    </row>
    <row r="36" spans="1:10" ht="15" customHeight="1" x14ac:dyDescent="0.25">
      <c r="A36" s="2" t="s">
        <v>33</v>
      </c>
      <c r="B36" s="4">
        <v>0</v>
      </c>
      <c r="C36" s="4">
        <v>0</v>
      </c>
      <c r="D36" s="4"/>
      <c r="E36" s="2"/>
      <c r="F36" s="11"/>
      <c r="G36" s="11"/>
      <c r="I36" s="11"/>
      <c r="J36" s="11"/>
    </row>
    <row r="37" spans="1:10" ht="15" customHeight="1" x14ac:dyDescent="0.25">
      <c r="A37" s="2" t="s">
        <v>34</v>
      </c>
      <c r="B37" s="4">
        <v>0</v>
      </c>
      <c r="C37" s="4">
        <v>0</v>
      </c>
      <c r="D37" s="4"/>
      <c r="E37" s="184">
        <f>E38+E39</f>
        <v>0</v>
      </c>
      <c r="F37" s="184">
        <f>F38+F39</f>
        <v>0</v>
      </c>
      <c r="G37" s="184">
        <f>G38+G39</f>
        <v>0</v>
      </c>
      <c r="H37" s="11"/>
    </row>
    <row r="38" spans="1:10" ht="15" customHeight="1" x14ac:dyDescent="0.25">
      <c r="A38" s="2" t="s">
        <v>35</v>
      </c>
      <c r="B38" s="4">
        <v>0</v>
      </c>
      <c r="C38" s="4">
        <v>0</v>
      </c>
      <c r="D38" s="4"/>
      <c r="E38" s="184">
        <f t="shared" ref="E38:G39" si="0">B38-B41</f>
        <v>0</v>
      </c>
      <c r="F38" s="184">
        <f t="shared" si="0"/>
        <v>0</v>
      </c>
      <c r="G38" s="184">
        <f t="shared" si="0"/>
        <v>0</v>
      </c>
    </row>
    <row r="39" spans="1:10" ht="15" customHeight="1" x14ac:dyDescent="0.25">
      <c r="A39" s="2" t="s">
        <v>36</v>
      </c>
      <c r="B39" s="4">
        <v>0</v>
      </c>
      <c r="C39" s="4">
        <v>0</v>
      </c>
      <c r="D39" s="17"/>
      <c r="E39" s="184">
        <f t="shared" si="0"/>
        <v>0</v>
      </c>
      <c r="F39" s="184">
        <f t="shared" si="0"/>
        <v>0</v>
      </c>
      <c r="G39" s="184">
        <f t="shared" si="0"/>
        <v>0</v>
      </c>
    </row>
    <row r="40" spans="1:10" ht="15" customHeight="1" x14ac:dyDescent="0.25">
      <c r="A40" s="2" t="s">
        <v>37</v>
      </c>
      <c r="B40" s="4">
        <v>0</v>
      </c>
      <c r="C40" s="4">
        <v>0</v>
      </c>
      <c r="D40" s="4"/>
      <c r="E40" s="2"/>
    </row>
    <row r="41" spans="1:10" ht="15" customHeight="1" x14ac:dyDescent="0.25">
      <c r="A41" s="2" t="s">
        <v>38</v>
      </c>
      <c r="B41" s="4">
        <v>0</v>
      </c>
      <c r="C41" s="4">
        <v>0</v>
      </c>
      <c r="D41" s="4"/>
      <c r="E41" s="2"/>
    </row>
    <row r="42" spans="1:10" ht="15" customHeight="1" x14ac:dyDescent="0.25">
      <c r="A42" s="2" t="s">
        <v>39</v>
      </c>
      <c r="B42" s="4">
        <v>0</v>
      </c>
      <c r="C42" s="4">
        <v>0</v>
      </c>
      <c r="D42" s="4"/>
      <c r="E42" s="2"/>
    </row>
    <row r="43" spans="1:10" ht="15" customHeight="1" x14ac:dyDescent="0.25">
      <c r="A43" s="2" t="s">
        <v>40</v>
      </c>
      <c r="B43" s="4">
        <v>0</v>
      </c>
      <c r="C43" s="4">
        <v>0</v>
      </c>
      <c r="D43" s="4"/>
      <c r="E43" s="2"/>
    </row>
    <row r="44" spans="1:10" ht="15" customHeight="1" x14ac:dyDescent="0.25">
      <c r="A44" s="2" t="s">
        <v>41</v>
      </c>
      <c r="B44" s="4">
        <v>0</v>
      </c>
      <c r="C44" s="4">
        <v>0</v>
      </c>
      <c r="D44" s="4"/>
      <c r="E44" s="2"/>
    </row>
    <row r="45" spans="1:10" ht="15" customHeight="1" x14ac:dyDescent="0.25">
      <c r="A45" s="2" t="s">
        <v>42</v>
      </c>
      <c r="B45" s="4">
        <v>0</v>
      </c>
      <c r="C45" s="4">
        <v>0</v>
      </c>
      <c r="D45" s="4"/>
      <c r="E45" s="2"/>
    </row>
    <row r="46" spans="1:10" ht="15" customHeight="1" x14ac:dyDescent="0.25">
      <c r="A46" s="2" t="s">
        <v>43</v>
      </c>
      <c r="B46" s="9"/>
      <c r="C46" s="9"/>
      <c r="D46" s="9"/>
    </row>
    <row r="47" spans="1:10" ht="15" customHeight="1" x14ac:dyDescent="0.25">
      <c r="A47" s="2" t="s">
        <v>44</v>
      </c>
      <c r="B47" s="9"/>
      <c r="C47" s="9"/>
      <c r="D47" s="9"/>
      <c r="E47" s="185">
        <f>IF(LEN(B47)=10,"0"&amp;B47,IF(LEN(B47)=9,"00"&amp;B47,B47))</f>
        <v>0</v>
      </c>
    </row>
    <row r="48" spans="1:10" ht="15" customHeight="1" x14ac:dyDescent="0.25">
      <c r="A48" s="2" t="s">
        <v>45</v>
      </c>
      <c r="B48" s="9"/>
      <c r="C48" s="9"/>
      <c r="D48" s="9"/>
    </row>
    <row r="49" spans="1:17" ht="15" customHeight="1" x14ac:dyDescent="0.25">
      <c r="A49" s="2" t="s">
        <v>46</v>
      </c>
      <c r="B49" s="9"/>
      <c r="C49" s="9"/>
      <c r="D49" s="9"/>
    </row>
    <row r="52" spans="1:17" ht="15" customHeight="1" x14ac:dyDescent="0.25">
      <c r="A52" s="2" t="s">
        <v>47</v>
      </c>
      <c r="B52" s="16" t="b">
        <f>SUM(B27:B32)=B33</f>
        <v>1</v>
      </c>
      <c r="C52" s="16" t="b">
        <f>SUM(C27:C32)=C33</f>
        <v>1</v>
      </c>
      <c r="D52" s="16" t="b">
        <f>SUM(D27:D32)=D33</f>
        <v>1</v>
      </c>
      <c r="F52" s="64"/>
    </row>
    <row r="53" spans="1:17" ht="15" customHeight="1" x14ac:dyDescent="0.25">
      <c r="A53" s="2" t="s">
        <v>48</v>
      </c>
      <c r="B53" s="1" t="b">
        <f>(B40+E37+B36+B35+B34+B43)=B33</f>
        <v>1</v>
      </c>
      <c r="C53" s="1" t="b">
        <f>(C43+C40+F37+C36+C35+C34)=C33</f>
        <v>1</v>
      </c>
      <c r="D53" s="1" t="b">
        <f>(D43+D40+G37+D36+D35+D34)=D33</f>
        <v>1</v>
      </c>
      <c r="F53" s="64"/>
    </row>
    <row r="54" spans="1:17" ht="15" customHeight="1" thickBot="1" x14ac:dyDescent="0.25"/>
    <row r="55" spans="1:17" ht="15.95" customHeight="1" thickBot="1" x14ac:dyDescent="0.3">
      <c r="A55" s="2"/>
      <c r="B55" s="2"/>
      <c r="C55" s="2"/>
      <c r="D55" s="2"/>
      <c r="E55" s="2"/>
      <c r="F55" s="2"/>
      <c r="G55" s="2"/>
      <c r="H55" s="186" t="s">
        <v>2</v>
      </c>
      <c r="I55" s="187"/>
      <c r="J55" s="187"/>
      <c r="K55" s="187"/>
      <c r="L55" s="187"/>
      <c r="M55" s="187"/>
      <c r="N55" s="187"/>
      <c r="O55" s="187"/>
      <c r="P55" s="187"/>
      <c r="Q55" s="188"/>
    </row>
    <row r="56" spans="1:17" ht="15" customHeight="1" x14ac:dyDescent="0.25">
      <c r="A56" s="21" t="s">
        <v>49</v>
      </c>
      <c r="B56" s="21" t="s">
        <v>50</v>
      </c>
      <c r="C56" s="21" t="s">
        <v>2</v>
      </c>
      <c r="D56" s="21" t="s">
        <v>51</v>
      </c>
      <c r="E56" s="21" t="s">
        <v>52</v>
      </c>
      <c r="F56" s="21" t="s">
        <v>53</v>
      </c>
      <c r="G56" s="2"/>
      <c r="H56" s="34">
        <v>1</v>
      </c>
      <c r="I56" s="34">
        <v>2</v>
      </c>
      <c r="J56" s="34">
        <v>3</v>
      </c>
      <c r="K56" s="35">
        <v>4</v>
      </c>
      <c r="L56" s="35">
        <v>5</v>
      </c>
      <c r="M56" s="35">
        <v>6</v>
      </c>
      <c r="N56" s="36">
        <v>7</v>
      </c>
      <c r="O56" s="36">
        <v>8</v>
      </c>
      <c r="P56" s="36">
        <v>9</v>
      </c>
      <c r="Q56" s="37">
        <v>10</v>
      </c>
    </row>
    <row r="57" spans="1:17" ht="15" customHeight="1" x14ac:dyDescent="0.25">
      <c r="A57" s="2" t="s">
        <v>54</v>
      </c>
      <c r="B57" s="63" t="e">
        <f>+Report!B126</f>
        <v>#DIV/0!</v>
      </c>
      <c r="C57" s="25" t="e">
        <f>IF(B57&gt;H57,$H$56,IF(B57&gt;I57,$I$56,IF(B57&gt;J57,$J$56,IF(B57&gt;K57,$K$56,IF(B57&gt;L57,$L$56,IF(B57&gt;M57,$M$56,IF(B57&gt;N57,$N$56,IF(B57&gt;O57,$O$56,IF(B57&gt;P57,$P$56,$Q$56)))))))))</f>
        <v>#DIV/0!</v>
      </c>
      <c r="D57" s="18">
        <v>0.1</v>
      </c>
      <c r="E57" s="2" t="e">
        <f>C57*D57</f>
        <v>#DIV/0!</v>
      </c>
      <c r="F57" s="19" t="e">
        <f>E57/$E$75</f>
        <v>#DIV/0!</v>
      </c>
      <c r="G57" s="38"/>
      <c r="H57" s="27">
        <v>1.5</v>
      </c>
      <c r="I57" s="27">
        <v>1.3</v>
      </c>
      <c r="J57" s="27">
        <v>1.1000000000000001</v>
      </c>
      <c r="K57" s="27">
        <v>0.9</v>
      </c>
      <c r="L57" s="27">
        <v>0.8</v>
      </c>
      <c r="M57" s="27">
        <v>0.7</v>
      </c>
      <c r="N57" s="27">
        <v>0.6</v>
      </c>
      <c r="O57" s="27">
        <v>0.5</v>
      </c>
      <c r="P57" s="27">
        <v>0.4</v>
      </c>
      <c r="Q57" s="27" t="s">
        <v>55</v>
      </c>
    </row>
    <row r="58" spans="1:17" ht="15" customHeight="1" x14ac:dyDescent="0.25">
      <c r="A58" s="2" t="s">
        <v>56</v>
      </c>
      <c r="B58" s="63" t="e">
        <f>+Report!B127</f>
        <v>#DIV/0!</v>
      </c>
      <c r="C58" s="25" t="e">
        <f>IF(B58&gt;H58,$H$56,IF(B58&gt;I58,$I$56,IF(B58&gt;J58,$J$56,IF(B58&gt;K58,$K$56,IF(B58&gt;L58,$L$56,IF(B58&gt;M58,$M$56,IF(B58&gt;N58,$N$56,IF(B58&gt;O58,$O$56,IF(B58&gt;P58,$P$56,$Q$56)))))))))</f>
        <v>#DIV/0!</v>
      </c>
      <c r="D58" s="18">
        <v>0.1</v>
      </c>
      <c r="E58" s="2" t="e">
        <f>C58*D58</f>
        <v>#DIV/0!</v>
      </c>
      <c r="F58" s="19" t="e">
        <f>E58/$E$75</f>
        <v>#DIV/0!</v>
      </c>
      <c r="G58" s="38"/>
      <c r="H58" s="27">
        <v>2</v>
      </c>
      <c r="I58" s="27">
        <v>1.8</v>
      </c>
      <c r="J58" s="27">
        <v>1.6</v>
      </c>
      <c r="K58" s="27">
        <v>1.4</v>
      </c>
      <c r="L58" s="27">
        <v>1.2</v>
      </c>
      <c r="M58" s="27">
        <v>1</v>
      </c>
      <c r="N58" s="27">
        <v>0.9</v>
      </c>
      <c r="O58" s="27">
        <v>0.8</v>
      </c>
      <c r="P58" s="27">
        <v>0.7</v>
      </c>
      <c r="Q58" s="27" t="s">
        <v>55</v>
      </c>
    </row>
    <row r="59" spans="1:17" ht="15" customHeight="1" x14ac:dyDescent="0.25">
      <c r="A59" s="21" t="s">
        <v>57</v>
      </c>
      <c r="B59" s="22"/>
      <c r="C59" s="22"/>
      <c r="D59" s="23"/>
      <c r="E59" s="22"/>
      <c r="F59" s="24"/>
      <c r="G59" s="38"/>
      <c r="H59" s="31"/>
      <c r="I59" s="31"/>
      <c r="J59" s="31"/>
      <c r="K59" s="31"/>
      <c r="L59" s="31"/>
      <c r="M59" s="31"/>
      <c r="N59" s="31"/>
      <c r="O59" s="31"/>
      <c r="P59" s="31"/>
      <c r="Q59" s="31"/>
    </row>
    <row r="60" spans="1:17" ht="15" customHeight="1" x14ac:dyDescent="0.25">
      <c r="A60" s="2" t="s">
        <v>58</v>
      </c>
      <c r="B60" s="63" t="e">
        <f>+Report!B129</f>
        <v>#DIV/0!</v>
      </c>
      <c r="C60" s="25" t="e">
        <f>IF(B60&lt;H60,$H$56,IF(B60&lt;I60,$I$56,IF(B60&lt;J60,$J$56,IF(B60&lt;K60,$K$56,IF(B60&lt;L60,$L$56,IF(B60&lt;M60,$M$56,IF(B60&lt;N60,$N$56,IF(B60&lt;O60,$O$56,IF(B60&lt;P60,$P$56,$Q$56)))))))))</f>
        <v>#DIV/0!</v>
      </c>
      <c r="D60" s="18">
        <v>0.1</v>
      </c>
      <c r="E60" s="2" t="e">
        <f>C60*D60</f>
        <v>#DIV/0!</v>
      </c>
      <c r="F60" s="19" t="e">
        <f>E60/$E$75</f>
        <v>#DIV/0!</v>
      </c>
      <c r="G60" s="38"/>
      <c r="H60" s="27">
        <v>0.2</v>
      </c>
      <c r="I60" s="27">
        <v>0.4</v>
      </c>
      <c r="J60" s="27">
        <v>0.6</v>
      </c>
      <c r="K60" s="27">
        <v>0.8</v>
      </c>
      <c r="L60" s="27">
        <v>1</v>
      </c>
      <c r="M60" s="39">
        <v>1.2</v>
      </c>
      <c r="N60" s="27">
        <v>1.5</v>
      </c>
      <c r="O60" s="27">
        <v>1.8</v>
      </c>
      <c r="P60" s="27">
        <v>2</v>
      </c>
      <c r="Q60" s="27" t="s">
        <v>59</v>
      </c>
    </row>
    <row r="61" spans="1:17" ht="15" customHeight="1" x14ac:dyDescent="0.25">
      <c r="A61" s="2" t="s">
        <v>60</v>
      </c>
      <c r="B61" s="63" t="str">
        <f>+Report!B131</f>
        <v>Non Calcolabile</v>
      </c>
      <c r="C61" s="25" t="str">
        <f>IF(AND(B61="Non Calcolabile",B19=0),"0",IF(AND(B61="Non Calcolabile",B19&lt;&gt;0),L56,IF(AND(B61&gt;0,Report!B130&gt;0,Report!B136&gt;0),Input!J56,IF(AND(B61&gt;0,Report!B130&lt;0,Report!B136&lt;0),Input!O56,IF(B61&gt;H61,$H$56,IF(B61&gt;I61,$I$56,IF(B61&gt;J61,$J$56,IF(B61&gt;K61,$K$56,IF(B61&gt;L61,$L$56,IF(B61&gt;M61,$M$56,IF(B61&gt;N61,$N$56,IF(B61&gt;O61,$O$56,IF(B61&gt;P61,$P$56,$Q$56)))))))))))))</f>
        <v>0</v>
      </c>
      <c r="D61" s="18">
        <v>0.15</v>
      </c>
      <c r="E61" s="2">
        <f>C61*D61</f>
        <v>0</v>
      </c>
      <c r="F61" s="19" t="e">
        <f>E61/$E$75</f>
        <v>#DIV/0!</v>
      </c>
      <c r="G61" s="38"/>
      <c r="H61" s="27">
        <v>2</v>
      </c>
      <c r="I61" s="27">
        <v>1.5</v>
      </c>
      <c r="J61" s="27">
        <v>1</v>
      </c>
      <c r="K61" s="27">
        <v>0.5</v>
      </c>
      <c r="L61" s="40">
        <v>0</v>
      </c>
      <c r="M61" s="40">
        <v>-0.5</v>
      </c>
      <c r="N61" s="40">
        <v>-1</v>
      </c>
      <c r="O61" s="40">
        <v>-1.5</v>
      </c>
      <c r="P61" s="40">
        <v>-2</v>
      </c>
      <c r="Q61" s="27" t="s">
        <v>59</v>
      </c>
    </row>
    <row r="62" spans="1:17" ht="15" customHeight="1" x14ac:dyDescent="0.25">
      <c r="A62" s="2" t="s">
        <v>61</v>
      </c>
      <c r="B62" s="2" t="e">
        <f>+Report!B76/Report!B61</f>
        <v>#DIV/0!</v>
      </c>
      <c r="C62" s="25" t="e">
        <f>IF(B62&gt;H62,$H$56,IF(B62&gt;I62,$I$56,IF(B62&gt;J62,$J$56,IF(B62&gt;K62,$K$56,IF(B62&gt;L62,$L$56,IF(B62&gt;M62,$M$56,IF(B62&gt;N62,$N$56,IF(B62&gt;O62,$O$56,IF(B62&gt;P62,$P$56,$Q$56)))))))))</f>
        <v>#DIV/0!</v>
      </c>
      <c r="D62" s="18">
        <v>0.05</v>
      </c>
      <c r="E62" s="2" t="e">
        <f>C62*D62</f>
        <v>#DIV/0!</v>
      </c>
      <c r="F62" s="19" t="e">
        <f>E62/$E$75</f>
        <v>#DIV/0!</v>
      </c>
      <c r="G62" s="38"/>
      <c r="H62" s="27">
        <v>1.5</v>
      </c>
      <c r="I62" s="27">
        <v>1.3</v>
      </c>
      <c r="J62" s="27">
        <v>1.1000000000000001</v>
      </c>
      <c r="K62" s="27">
        <v>1</v>
      </c>
      <c r="L62" s="27">
        <v>0.9</v>
      </c>
      <c r="M62" s="27">
        <v>0.8</v>
      </c>
      <c r="N62" s="27">
        <v>0.7</v>
      </c>
      <c r="O62" s="27">
        <v>0.6</v>
      </c>
      <c r="P62" s="27">
        <v>0.5</v>
      </c>
      <c r="Q62" s="27" t="s">
        <v>55</v>
      </c>
    </row>
    <row r="63" spans="1:17" ht="15" customHeight="1" x14ac:dyDescent="0.25">
      <c r="A63" s="2" t="s">
        <v>62</v>
      </c>
      <c r="B63" s="2" t="e">
        <f>+Report!B136/Report!B118</f>
        <v>#DIV/0!</v>
      </c>
      <c r="C63" s="25" t="e">
        <f>IF(B63=0,H56,IF(B63&gt;H63,$H$56,IF(B63&gt;I63,$I$56,IF(B63&gt;J63,$J$56,IF(B63&gt;K63,$K$56,IF(B63&gt;L63,$L$56,IF(B63&gt;M63,$M$56,IF(B63&gt;N63,$N$56,IF(B63&gt;O63,$O$56,IF(B63&gt;P63,$P$56,$Q$56))))))))))</f>
        <v>#DIV/0!</v>
      </c>
      <c r="D63" s="18">
        <v>0.1</v>
      </c>
      <c r="E63" s="2" t="e">
        <f>C63*D63</f>
        <v>#DIV/0!</v>
      </c>
      <c r="F63" s="19" t="e">
        <f>E63/$E$75</f>
        <v>#DIV/0!</v>
      </c>
      <c r="G63" s="38"/>
      <c r="H63" s="27">
        <v>10</v>
      </c>
      <c r="I63" s="27">
        <v>8</v>
      </c>
      <c r="J63" s="27">
        <v>6</v>
      </c>
      <c r="K63" s="27">
        <v>4</v>
      </c>
      <c r="L63" s="27">
        <v>2.5</v>
      </c>
      <c r="M63" s="27">
        <v>1.5</v>
      </c>
      <c r="N63" s="27">
        <v>1.2</v>
      </c>
      <c r="O63" s="27">
        <v>1</v>
      </c>
      <c r="P63" s="27">
        <v>0.8</v>
      </c>
      <c r="Q63" s="27" t="s">
        <v>55</v>
      </c>
    </row>
    <row r="64" spans="1:17" ht="15" customHeight="1" x14ac:dyDescent="0.25">
      <c r="A64" s="21" t="s">
        <v>63</v>
      </c>
      <c r="B64" s="22"/>
      <c r="C64" s="22"/>
      <c r="D64" s="23"/>
      <c r="E64" s="22"/>
      <c r="F64" s="24"/>
      <c r="G64" s="38"/>
      <c r="H64" s="31"/>
      <c r="I64" s="31"/>
      <c r="J64" s="31"/>
      <c r="K64" s="31"/>
      <c r="L64" s="31"/>
      <c r="M64" s="31"/>
      <c r="N64" s="31"/>
      <c r="O64" s="31"/>
      <c r="P64" s="31"/>
      <c r="Q64" s="31"/>
    </row>
    <row r="65" spans="1:17" ht="15" customHeight="1" x14ac:dyDescent="0.25">
      <c r="A65" s="2" t="s">
        <v>64</v>
      </c>
      <c r="B65" s="19" t="e">
        <f>+Report!B133</f>
        <v>#DIV/0!</v>
      </c>
      <c r="C65" s="25" t="e">
        <f t="shared" ref="C65:C70" si="1">IF(B65&gt;H65,$H$56,IF(B65&gt;I65,$I$56,IF(B65&gt;J65,$J$56,IF(B65&gt;K65,$K$56,IF(B65&gt;L65,$L$56,IF(B65&gt;M65,$M$56,IF(B65&gt;N65,$N$56,IF(B65&gt;O65,$O$56,IF(B65&gt;P65,$P$56,$Q$56)))))))))</f>
        <v>#DIV/0!</v>
      </c>
      <c r="D65" s="18">
        <v>0.1</v>
      </c>
      <c r="E65" s="2" t="e">
        <f t="shared" ref="E65:E70" si="2">C65*D65</f>
        <v>#DIV/0!</v>
      </c>
      <c r="F65" s="19" t="e">
        <f t="shared" ref="F65:F70" si="3">E65/$E$75</f>
        <v>#DIV/0!</v>
      </c>
      <c r="G65" s="38"/>
      <c r="H65" s="41">
        <v>0.2</v>
      </c>
      <c r="I65" s="41">
        <v>0.13</v>
      </c>
      <c r="J65" s="41">
        <v>0.11</v>
      </c>
      <c r="K65" s="41">
        <v>0.09</v>
      </c>
      <c r="L65" s="41">
        <v>7.0000000000000007E-2</v>
      </c>
      <c r="M65" s="41">
        <v>0.05</v>
      </c>
      <c r="N65" s="41">
        <v>0.03</v>
      </c>
      <c r="O65" s="41">
        <v>0.01</v>
      </c>
      <c r="P65" s="41">
        <v>0</v>
      </c>
      <c r="Q65" s="41" t="s">
        <v>55</v>
      </c>
    </row>
    <row r="66" spans="1:17" ht="15" customHeight="1" x14ac:dyDescent="0.25">
      <c r="A66" s="2" t="s">
        <v>65</v>
      </c>
      <c r="B66" s="19" t="e">
        <f>+Report!B134</f>
        <v>#DIV/0!</v>
      </c>
      <c r="C66" s="25" t="e">
        <f t="shared" si="1"/>
        <v>#DIV/0!</v>
      </c>
      <c r="D66" s="18">
        <v>0.05</v>
      </c>
      <c r="E66" s="2" t="e">
        <f t="shared" si="2"/>
        <v>#DIV/0!</v>
      </c>
      <c r="F66" s="19" t="e">
        <f t="shared" si="3"/>
        <v>#DIV/0!</v>
      </c>
      <c r="G66" s="38"/>
      <c r="H66" s="41">
        <v>0.25</v>
      </c>
      <c r="I66" s="41">
        <v>0.2</v>
      </c>
      <c r="J66" s="41">
        <v>0.15</v>
      </c>
      <c r="K66" s="41">
        <v>0.12</v>
      </c>
      <c r="L66" s="41">
        <v>0.1</v>
      </c>
      <c r="M66" s="41">
        <v>0.08</v>
      </c>
      <c r="N66" s="41">
        <v>0.06</v>
      </c>
      <c r="O66" s="41">
        <v>0.04</v>
      </c>
      <c r="P66" s="41">
        <v>0.02</v>
      </c>
      <c r="Q66" s="41" t="s">
        <v>55</v>
      </c>
    </row>
    <row r="67" spans="1:17" ht="15" customHeight="1" x14ac:dyDescent="0.25">
      <c r="A67" s="2" t="s">
        <v>66</v>
      </c>
      <c r="B67" s="19" t="e">
        <f>+Report!B135</f>
        <v>#DIV/0!</v>
      </c>
      <c r="C67" s="25" t="e">
        <f t="shared" si="1"/>
        <v>#DIV/0!</v>
      </c>
      <c r="D67" s="18">
        <v>0.05</v>
      </c>
      <c r="E67" s="2" t="e">
        <f t="shared" si="2"/>
        <v>#DIV/0!</v>
      </c>
      <c r="F67" s="19" t="e">
        <f t="shared" si="3"/>
        <v>#DIV/0!</v>
      </c>
      <c r="G67" s="38"/>
      <c r="H67" s="41">
        <v>0.25</v>
      </c>
      <c r="I67" s="41">
        <v>0.2</v>
      </c>
      <c r="J67" s="41">
        <v>0.15</v>
      </c>
      <c r="K67" s="41">
        <v>0.12</v>
      </c>
      <c r="L67" s="41">
        <v>0.1</v>
      </c>
      <c r="M67" s="41">
        <v>0.08</v>
      </c>
      <c r="N67" s="41">
        <v>0.06</v>
      </c>
      <c r="O67" s="41">
        <v>0.04</v>
      </c>
      <c r="P67" s="41">
        <v>0.02</v>
      </c>
      <c r="Q67" s="41" t="s">
        <v>55</v>
      </c>
    </row>
    <row r="68" spans="1:17" ht="15" customHeight="1" x14ac:dyDescent="0.25">
      <c r="A68" s="2" t="s">
        <v>67</v>
      </c>
      <c r="B68" s="19" t="e">
        <f>+Report!B136/Report!B98</f>
        <v>#DIV/0!</v>
      </c>
      <c r="C68" s="25" t="e">
        <f t="shared" si="1"/>
        <v>#DIV/0!</v>
      </c>
      <c r="D68" s="18">
        <v>0.1</v>
      </c>
      <c r="E68" s="2" t="e">
        <f t="shared" si="2"/>
        <v>#DIV/0!</v>
      </c>
      <c r="F68" s="19" t="e">
        <f t="shared" si="3"/>
        <v>#DIV/0!</v>
      </c>
      <c r="G68" s="38"/>
      <c r="H68" s="41">
        <v>0.15</v>
      </c>
      <c r="I68" s="41">
        <v>0.13</v>
      </c>
      <c r="J68" s="41">
        <v>0.1</v>
      </c>
      <c r="K68" s="41">
        <v>0.08</v>
      </c>
      <c r="L68" s="41">
        <v>0.06</v>
      </c>
      <c r="M68" s="41">
        <v>0.04</v>
      </c>
      <c r="N68" s="41">
        <v>0.02</v>
      </c>
      <c r="O68" s="41">
        <v>0.01</v>
      </c>
      <c r="P68" s="41">
        <v>0</v>
      </c>
      <c r="Q68" s="41" t="s">
        <v>55</v>
      </c>
    </row>
    <row r="69" spans="1:17" ht="15" customHeight="1" x14ac:dyDescent="0.25">
      <c r="A69" s="2" t="s">
        <v>68</v>
      </c>
      <c r="B69" s="19" t="e">
        <f>+Report!B116</f>
        <v>#DIV/0!</v>
      </c>
      <c r="C69" s="25" t="e">
        <f t="shared" si="1"/>
        <v>#DIV/0!</v>
      </c>
      <c r="D69" s="18">
        <v>0.05</v>
      </c>
      <c r="E69" s="2" t="e">
        <f t="shared" si="2"/>
        <v>#DIV/0!</v>
      </c>
      <c r="F69" s="19" t="e">
        <f t="shared" si="3"/>
        <v>#DIV/0!</v>
      </c>
      <c r="G69" s="38"/>
      <c r="H69" s="41">
        <v>0.13</v>
      </c>
      <c r="I69" s="41">
        <v>0.11</v>
      </c>
      <c r="J69" s="41">
        <v>0.1</v>
      </c>
      <c r="K69" s="41">
        <v>0.08</v>
      </c>
      <c r="L69" s="41">
        <v>0.06</v>
      </c>
      <c r="M69" s="41">
        <v>0.04</v>
      </c>
      <c r="N69" s="41">
        <v>0.02</v>
      </c>
      <c r="O69" s="41">
        <v>0</v>
      </c>
      <c r="P69" s="41">
        <v>-0.02</v>
      </c>
      <c r="Q69" s="41" t="s">
        <v>55</v>
      </c>
    </row>
    <row r="70" spans="1:17" ht="15" customHeight="1" x14ac:dyDescent="0.25">
      <c r="A70" s="2" t="s">
        <v>69</v>
      </c>
      <c r="B70" s="19" t="e">
        <f>+Report!B119/Report!B98</f>
        <v>#DIV/0!</v>
      </c>
      <c r="C70" s="25" t="e">
        <f t="shared" si="1"/>
        <v>#DIV/0!</v>
      </c>
      <c r="D70" s="18">
        <v>2.5000000000000001E-2</v>
      </c>
      <c r="E70" s="2" t="e">
        <f t="shared" si="2"/>
        <v>#DIV/0!</v>
      </c>
      <c r="F70" s="19" t="e">
        <f t="shared" si="3"/>
        <v>#DIV/0!</v>
      </c>
      <c r="G70" s="38"/>
      <c r="H70" s="41">
        <v>0.1</v>
      </c>
      <c r="I70" s="41">
        <v>0.08</v>
      </c>
      <c r="J70" s="41">
        <v>0.06</v>
      </c>
      <c r="K70" s="41">
        <v>0.04</v>
      </c>
      <c r="L70" s="41">
        <v>0.02</v>
      </c>
      <c r="M70" s="41">
        <v>0.01</v>
      </c>
      <c r="N70" s="41">
        <v>0</v>
      </c>
      <c r="O70" s="41">
        <v>-0.03</v>
      </c>
      <c r="P70" s="41">
        <v>-0.05</v>
      </c>
      <c r="Q70" s="41" t="s">
        <v>55</v>
      </c>
    </row>
    <row r="71" spans="1:17" ht="15" customHeight="1" x14ac:dyDescent="0.25">
      <c r="A71" s="21" t="s">
        <v>70</v>
      </c>
      <c r="B71" s="22"/>
      <c r="C71" s="22"/>
      <c r="D71" s="23"/>
      <c r="E71" s="22"/>
      <c r="F71" s="24"/>
      <c r="G71" s="38"/>
      <c r="H71" s="22"/>
      <c r="I71" s="22"/>
      <c r="J71" s="22"/>
      <c r="K71" s="22"/>
      <c r="L71" s="22"/>
      <c r="M71" s="22"/>
      <c r="N71" s="22"/>
      <c r="O71" s="22"/>
      <c r="P71" s="22"/>
      <c r="Q71" s="22"/>
    </row>
    <row r="72" spans="1:17" ht="15" customHeight="1" x14ac:dyDescent="0.25">
      <c r="A72" s="2" t="s">
        <v>71</v>
      </c>
      <c r="B72" s="63" t="e">
        <f>+Report!B138</f>
        <v>#DIV/0!</v>
      </c>
      <c r="C72" s="25" t="e">
        <f>IF(B72&gt;H72,$H$56,IF(B72&gt;I72,$I$56,IF(B72&gt;J72,$J$56,IF(B72&gt;K72,$K$56,IF(B72&gt;L72,$L$56,IF(B72&gt;M72,$M$56,IF(B72&gt;N72,$N$56,IF(B72&gt;O72,$O$56,IF(B72&gt;P72,$P$56,$Q$56)))))))))</f>
        <v>#DIV/0!</v>
      </c>
      <c r="D72" s="18">
        <v>2.5000000000000001E-2</v>
      </c>
      <c r="E72" s="2" t="e">
        <f>C72*D72</f>
        <v>#DIV/0!</v>
      </c>
      <c r="F72" s="19" t="e">
        <f>E72/$E$75</f>
        <v>#DIV/0!</v>
      </c>
      <c r="G72" s="38"/>
      <c r="H72" s="27">
        <v>2</v>
      </c>
      <c r="I72" s="27">
        <v>1.8</v>
      </c>
      <c r="J72" s="27">
        <v>1.6</v>
      </c>
      <c r="K72" s="27">
        <v>1.4</v>
      </c>
      <c r="L72" s="27">
        <v>1.2</v>
      </c>
      <c r="M72" s="27">
        <v>1</v>
      </c>
      <c r="N72" s="27">
        <v>0.9</v>
      </c>
      <c r="O72" s="27">
        <v>0.8</v>
      </c>
      <c r="P72" s="27">
        <v>0.7</v>
      </c>
      <c r="Q72" s="27" t="s">
        <v>55</v>
      </c>
    </row>
    <row r="73" spans="1:17" ht="15.95" customHeight="1" thickBo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5.95" customHeight="1" thickBot="1" x14ac:dyDescent="0.3">
      <c r="A74" s="2"/>
      <c r="B74" s="2"/>
      <c r="C74" s="2"/>
      <c r="D74" s="2"/>
      <c r="E74" s="42" t="s">
        <v>2</v>
      </c>
      <c r="F74" s="2"/>
      <c r="G74" s="43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5.95" customHeight="1" thickBot="1" x14ac:dyDescent="0.3">
      <c r="A75" s="2"/>
      <c r="B75" s="2"/>
      <c r="C75" s="2"/>
      <c r="D75" s="2"/>
      <c r="E75" s="44" t="e">
        <f>AVERAGE(C57:C72)</f>
        <v>#DIV/0!</v>
      </c>
      <c r="F75" s="2"/>
      <c r="G75" s="2"/>
      <c r="Q75" s="2"/>
    </row>
    <row r="76" spans="1:17" ht="1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5" customHeight="1" x14ac:dyDescent="0.25">
      <c r="A78" s="2"/>
      <c r="B78" s="2"/>
      <c r="C78" s="2"/>
      <c r="D78" s="2"/>
      <c r="E78" s="45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5.95" customHeight="1" thickBo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5.95" customHeight="1" thickBot="1" x14ac:dyDescent="0.3">
      <c r="A81" s="2"/>
      <c r="B81" s="46"/>
      <c r="C81" s="47"/>
      <c r="D81" s="47"/>
      <c r="E81" s="47"/>
      <c r="F81" s="47"/>
      <c r="G81" s="47"/>
      <c r="H81" s="47"/>
      <c r="I81" s="47"/>
      <c r="J81" s="47"/>
      <c r="K81" s="47"/>
      <c r="L81" s="48"/>
      <c r="M81" s="2"/>
      <c r="N81" s="2"/>
      <c r="O81" s="2"/>
      <c r="P81" s="2"/>
      <c r="Q81" s="2"/>
    </row>
    <row r="82" spans="1:17" ht="15.95" customHeight="1" thickBot="1" x14ac:dyDescent="0.3">
      <c r="A82" s="2"/>
      <c r="B82" s="49"/>
      <c r="C82" s="50" t="s">
        <v>2</v>
      </c>
      <c r="D82" s="50" t="s">
        <v>72</v>
      </c>
      <c r="E82" s="2"/>
      <c r="F82" s="2"/>
      <c r="G82" s="2"/>
      <c r="H82" s="2"/>
      <c r="I82" s="2"/>
      <c r="J82" s="2"/>
      <c r="K82" s="2"/>
      <c r="L82" s="51"/>
      <c r="M82" s="2"/>
      <c r="N82" s="2"/>
      <c r="O82" s="2"/>
      <c r="P82" s="2"/>
      <c r="Q82" s="2"/>
    </row>
    <row r="83" spans="1:17" ht="15.95" customHeight="1" thickBot="1" x14ac:dyDescent="0.3">
      <c r="A83" s="1"/>
      <c r="B83" s="52"/>
      <c r="C83" s="53" t="e">
        <f>IF(I92="Microimpresa",ROUND(E75,0)+2,IF(I92="Piccola impresa",ROUND(E75,0)+1,IF(I92="Media impresa",ROUND(E75+0.5,0),IF(I92="Grande impresa",ROUND(E75,0)))))</f>
        <v>#DIV/0!</v>
      </c>
      <c r="D83" s="54" t="e">
        <f>INDEX($H$95:$H$104,MATCH(C83,$G$95:$G$104,0))*INDEX($K$84:$K$87,MATCH(I92,$G$84:$G$87,0))</f>
        <v>#DIV/0!</v>
      </c>
      <c r="E83" s="2"/>
      <c r="F83" s="2"/>
      <c r="G83" s="55" t="s">
        <v>73</v>
      </c>
      <c r="H83" s="55" t="s">
        <v>74</v>
      </c>
      <c r="I83" s="55" t="s">
        <v>75</v>
      </c>
      <c r="J83" s="55" t="s">
        <v>76</v>
      </c>
      <c r="K83" s="55" t="s">
        <v>77</v>
      </c>
      <c r="L83" s="51"/>
      <c r="M83" s="2"/>
      <c r="N83" s="2"/>
      <c r="O83" s="2"/>
      <c r="P83" s="2"/>
      <c r="Q83" s="2"/>
    </row>
    <row r="84" spans="1:17" ht="15.95" customHeight="1" thickBot="1" x14ac:dyDescent="0.3">
      <c r="A84" s="2"/>
      <c r="B84" s="52"/>
      <c r="C84" s="2"/>
      <c r="D84" s="2"/>
      <c r="E84" s="2"/>
      <c r="F84" s="2">
        <v>1</v>
      </c>
      <c r="G84" s="2" t="s">
        <v>78</v>
      </c>
      <c r="H84" s="29">
        <v>450000</v>
      </c>
      <c r="I84" s="29">
        <v>900000</v>
      </c>
      <c r="J84" s="26">
        <v>10</v>
      </c>
      <c r="K84" s="2">
        <v>0.1</v>
      </c>
      <c r="L84" s="51"/>
      <c r="M84" s="2"/>
      <c r="N84" s="2"/>
      <c r="O84" s="2"/>
      <c r="P84" s="2"/>
      <c r="Q84" s="2"/>
    </row>
    <row r="85" spans="1:17" ht="15.95" customHeight="1" thickBot="1" x14ac:dyDescent="0.3">
      <c r="A85" s="2"/>
      <c r="B85" s="52"/>
      <c r="C85" s="2"/>
      <c r="D85" s="56" t="e">
        <f>"0 € - "&amp;TEXT(D83,"#.##0")&amp;" €"</f>
        <v>#DIV/0!</v>
      </c>
      <c r="E85" s="2"/>
      <c r="F85" s="2">
        <v>2</v>
      </c>
      <c r="G85" s="2" t="s">
        <v>79</v>
      </c>
      <c r="H85" s="29">
        <v>5000000</v>
      </c>
      <c r="I85" s="29">
        <v>10000000</v>
      </c>
      <c r="J85" s="26">
        <v>50</v>
      </c>
      <c r="K85" s="2">
        <v>0.2</v>
      </c>
      <c r="L85" s="51"/>
      <c r="M85" s="2"/>
      <c r="N85" s="2"/>
      <c r="O85" s="2"/>
      <c r="P85" s="2"/>
      <c r="Q85" s="2"/>
    </row>
    <row r="86" spans="1:17" ht="15" customHeight="1" x14ac:dyDescent="0.25">
      <c r="A86" s="2"/>
      <c r="B86" s="52"/>
      <c r="C86" s="2"/>
      <c r="D86" s="2"/>
      <c r="E86" s="2"/>
      <c r="F86" s="2">
        <v>3</v>
      </c>
      <c r="G86" s="2" t="s">
        <v>80</v>
      </c>
      <c r="H86" s="29">
        <v>25000000</v>
      </c>
      <c r="I86" s="29">
        <v>50000000</v>
      </c>
      <c r="J86" s="26">
        <v>250</v>
      </c>
      <c r="K86" s="2">
        <v>0.3</v>
      </c>
      <c r="L86" s="51"/>
      <c r="M86" s="2"/>
      <c r="N86" s="2"/>
      <c r="O86" s="2"/>
      <c r="P86" s="2"/>
      <c r="Q86" s="2"/>
    </row>
    <row r="87" spans="1:17" ht="15" customHeight="1" x14ac:dyDescent="0.25">
      <c r="A87" s="2"/>
      <c r="B87" s="52"/>
      <c r="C87" s="2"/>
      <c r="D87" s="2"/>
      <c r="E87" s="2"/>
      <c r="F87" s="2">
        <v>4</v>
      </c>
      <c r="G87" s="22" t="s">
        <v>81</v>
      </c>
      <c r="H87" s="30">
        <v>25000000</v>
      </c>
      <c r="I87" s="30">
        <v>50000000</v>
      </c>
      <c r="J87" s="31">
        <v>250</v>
      </c>
      <c r="K87" s="2">
        <v>0.5</v>
      </c>
      <c r="L87" s="51"/>
      <c r="M87" s="2"/>
      <c r="N87" s="2"/>
      <c r="O87" s="2"/>
      <c r="P87" s="2"/>
      <c r="Q87" s="2"/>
    </row>
    <row r="88" spans="1:17" ht="15" customHeight="1" x14ac:dyDescent="0.25">
      <c r="A88" s="1"/>
      <c r="B88" s="57"/>
      <c r="C88" s="20"/>
      <c r="D88" s="2"/>
      <c r="E88" s="2"/>
      <c r="F88" s="2"/>
      <c r="G88" s="2"/>
      <c r="H88" s="32">
        <f>+B33</f>
        <v>0</v>
      </c>
      <c r="I88" s="32">
        <f>B8</f>
        <v>0</v>
      </c>
      <c r="J88" s="33">
        <f>$B$21</f>
        <v>0</v>
      </c>
      <c r="K88" s="2"/>
      <c r="L88" s="51"/>
      <c r="M88" s="2"/>
      <c r="N88" s="2"/>
      <c r="O88" s="2"/>
      <c r="P88" s="2"/>
      <c r="Q88" s="2"/>
    </row>
    <row r="89" spans="1:17" ht="15" customHeight="1" x14ac:dyDescent="0.25">
      <c r="A89" s="2"/>
      <c r="B89" s="57"/>
      <c r="C89" s="20"/>
      <c r="D89" s="2"/>
      <c r="E89" s="2"/>
      <c r="F89" s="2"/>
      <c r="G89" s="2"/>
      <c r="H89" s="28" t="str">
        <f>IF(H88&lt;=H84,$G$84,IF(AND(H88&lt;=H85,H88&gt;H84),$G$85,IF(AND(H88&lt;=H86,H88&gt;H85),$G$86,IF(H88&gt;H86,$G$87))))</f>
        <v>Microimpresa</v>
      </c>
      <c r="I89" s="28" t="str">
        <f>IF(I88&lt;=I84,$G$84,IF(AND(I88&lt;=I85,I88&gt;I84),$G$85,IF(AND(I88&lt;=I86,I88&gt;I85),$G$86,IF(I88&gt;I86,$G$87))))</f>
        <v>Microimpresa</v>
      </c>
      <c r="J89" s="28" t="str">
        <f>IF(J88&lt;=J84,$G$84,IF(AND(J88&lt;=J85,J88&gt;J84),$G$85,IF(AND(J88&lt;=J86,J88&gt;J85),$G$86,IF(J88&gt;J86,$G$87))))</f>
        <v>Microimpresa</v>
      </c>
      <c r="K89" s="2"/>
      <c r="L89" s="51"/>
      <c r="M89" s="2"/>
      <c r="N89" s="2"/>
      <c r="O89" s="2"/>
      <c r="P89" s="2"/>
      <c r="Q89" s="2"/>
    </row>
    <row r="90" spans="1:17" ht="15" customHeight="1" x14ac:dyDescent="0.25">
      <c r="A90" s="2"/>
      <c r="B90" s="57"/>
      <c r="C90" s="20"/>
      <c r="D90" s="2"/>
      <c r="E90" s="2"/>
      <c r="F90" s="2"/>
      <c r="G90" s="2"/>
      <c r="H90" s="27">
        <f>INDEX($F$84:$F$87,MATCH(H89,$G$84:$G$87,0))</f>
        <v>1</v>
      </c>
      <c r="I90" s="27">
        <f>INDEX($F$84:$F$87,MATCH(I89,$G$84:$G$87,0))</f>
        <v>1</v>
      </c>
      <c r="J90" s="27">
        <f>INDEX($F$84:$F$87,MATCH(J89,$G$84:$G$87,0))</f>
        <v>1</v>
      </c>
      <c r="K90" s="2"/>
      <c r="L90" s="51"/>
      <c r="M90" s="2"/>
      <c r="N90" s="2"/>
      <c r="O90" s="2"/>
      <c r="P90" s="2"/>
      <c r="Q90" s="2"/>
    </row>
    <row r="91" spans="1:17" ht="15.95" customHeight="1" thickBot="1" x14ac:dyDescent="0.3">
      <c r="A91" s="2"/>
      <c r="B91" s="57"/>
      <c r="C91" s="20"/>
      <c r="D91" s="2"/>
      <c r="E91" s="2"/>
      <c r="F91" s="2"/>
      <c r="G91" s="2"/>
      <c r="H91" s="2"/>
      <c r="I91" s="58">
        <f>_xlfn.MODE.SNGL(H90:J90)</f>
        <v>1</v>
      </c>
      <c r="J91" s="2"/>
      <c r="K91" s="2"/>
      <c r="L91" s="51"/>
      <c r="M91" s="2"/>
      <c r="N91" s="2"/>
      <c r="O91" s="2"/>
      <c r="P91" s="2"/>
      <c r="Q91" s="2"/>
    </row>
    <row r="92" spans="1:17" ht="15.95" customHeight="1" thickBot="1" x14ac:dyDescent="0.3">
      <c r="A92" s="2"/>
      <c r="B92" s="52"/>
      <c r="C92" s="2"/>
      <c r="D92" s="2"/>
      <c r="E92" s="2"/>
      <c r="F92" s="2"/>
      <c r="G92" s="2"/>
      <c r="H92" s="2"/>
      <c r="I92" s="50" t="str">
        <f>IFERROR(INDEX(G84:G87,MATCH(I91,$F$84:$F$87,0)),INDEX($G$84:$G$87,MATCH(MEDIAN(H90:J90),$F$84:$F$87,0)))</f>
        <v>Microimpresa</v>
      </c>
      <c r="J92" s="2"/>
      <c r="K92" s="2"/>
      <c r="L92" s="51"/>
      <c r="M92" s="2"/>
      <c r="N92" s="2"/>
      <c r="O92" s="2"/>
      <c r="P92" s="2"/>
      <c r="Q92" s="2"/>
    </row>
    <row r="93" spans="1:17" ht="15.95" customHeight="1" thickBot="1" x14ac:dyDescent="0.3">
      <c r="A93" s="2"/>
      <c r="B93" s="52"/>
      <c r="C93" s="2"/>
      <c r="D93" s="2"/>
      <c r="E93" s="2"/>
      <c r="F93" s="2"/>
      <c r="G93" s="2"/>
      <c r="H93" s="2"/>
      <c r="I93" s="2"/>
      <c r="J93" s="2"/>
      <c r="K93" s="2"/>
      <c r="L93" s="51"/>
      <c r="M93" s="2"/>
      <c r="N93" s="2"/>
      <c r="O93" s="2"/>
      <c r="P93" s="2"/>
      <c r="Q93" s="2"/>
    </row>
    <row r="94" spans="1:17" ht="15.95" customHeight="1" thickBot="1" x14ac:dyDescent="0.3">
      <c r="A94" s="2"/>
      <c r="B94" s="52"/>
      <c r="C94" s="2"/>
      <c r="D94" s="2"/>
      <c r="E94" s="2"/>
      <c r="F94" s="2"/>
      <c r="G94" s="59" t="s">
        <v>2</v>
      </c>
      <c r="H94" s="50" t="s">
        <v>82</v>
      </c>
      <c r="I94" s="2"/>
      <c r="J94" s="2"/>
      <c r="K94" s="2"/>
      <c r="L94" s="51"/>
      <c r="M94" s="2"/>
      <c r="N94" s="2"/>
      <c r="O94" s="2"/>
      <c r="P94" s="2"/>
      <c r="Q94" s="2"/>
    </row>
    <row r="95" spans="1:17" ht="15.95" customHeight="1" thickBot="1" x14ac:dyDescent="0.3">
      <c r="A95" s="1"/>
      <c r="B95" s="52"/>
      <c r="C95" s="2"/>
      <c r="D95" s="2"/>
      <c r="E95" s="2"/>
      <c r="F95" s="2"/>
      <c r="G95" s="34">
        <v>1</v>
      </c>
      <c r="H95" s="60">
        <v>1000000</v>
      </c>
      <c r="I95" s="2"/>
      <c r="J95" s="2"/>
      <c r="K95" s="2"/>
      <c r="L95" s="51"/>
      <c r="M95" s="2"/>
      <c r="N95" s="2"/>
      <c r="O95" s="2"/>
      <c r="P95" s="2"/>
      <c r="Q95" s="2"/>
    </row>
    <row r="96" spans="1:17" ht="15.95" customHeight="1" thickBot="1" x14ac:dyDescent="0.3">
      <c r="A96" s="2"/>
      <c r="B96" s="52"/>
      <c r="C96" s="2"/>
      <c r="D96" s="2"/>
      <c r="E96" s="2"/>
      <c r="F96" s="2"/>
      <c r="G96" s="34">
        <v>2</v>
      </c>
      <c r="H96" s="60">
        <v>1000000</v>
      </c>
      <c r="I96" s="2"/>
      <c r="J96" s="2"/>
      <c r="K96" s="2"/>
      <c r="L96" s="51"/>
      <c r="M96" s="2"/>
      <c r="N96" s="2"/>
      <c r="O96" s="2"/>
      <c r="P96" s="2"/>
      <c r="Q96" s="2"/>
    </row>
    <row r="97" spans="1:17" ht="15.95" customHeight="1" thickBot="1" x14ac:dyDescent="0.3">
      <c r="A97" s="2"/>
      <c r="B97" s="52"/>
      <c r="C97" s="2"/>
      <c r="D97" s="2"/>
      <c r="E97" s="2"/>
      <c r="F97" s="2"/>
      <c r="G97" s="34">
        <v>3</v>
      </c>
      <c r="H97" s="60">
        <v>1000000</v>
      </c>
      <c r="I97" s="2"/>
      <c r="J97" s="2"/>
      <c r="K97" s="2"/>
      <c r="L97" s="51"/>
      <c r="M97" s="2"/>
      <c r="N97" s="2"/>
      <c r="O97" s="2"/>
      <c r="P97" s="2"/>
      <c r="Q97" s="2"/>
    </row>
    <row r="98" spans="1:17" ht="15.95" customHeight="1" thickBot="1" x14ac:dyDescent="0.3">
      <c r="A98" s="2"/>
      <c r="B98" s="52"/>
      <c r="C98" s="2"/>
      <c r="D98" s="2"/>
      <c r="E98" s="2"/>
      <c r="F98" s="2"/>
      <c r="G98" s="35">
        <v>4</v>
      </c>
      <c r="H98" s="60">
        <v>800000</v>
      </c>
      <c r="I98" s="2"/>
      <c r="J98" s="2"/>
      <c r="K98" s="2"/>
      <c r="L98" s="51"/>
      <c r="M98" s="2"/>
      <c r="N98" s="2"/>
      <c r="O98" s="2"/>
      <c r="P98" s="2"/>
      <c r="Q98" s="2"/>
    </row>
    <row r="99" spans="1:17" ht="15.95" customHeight="1" thickBot="1" x14ac:dyDescent="0.3">
      <c r="A99" s="2"/>
      <c r="B99" s="52"/>
      <c r="C99" s="2"/>
      <c r="D99" s="2"/>
      <c r="E99" s="2"/>
      <c r="F99" s="2"/>
      <c r="G99" s="35">
        <v>5</v>
      </c>
      <c r="H99" s="60">
        <v>350000</v>
      </c>
      <c r="I99" s="2"/>
      <c r="J99" s="2"/>
      <c r="K99" s="2"/>
      <c r="L99" s="51"/>
      <c r="M99" s="2"/>
      <c r="N99" s="2"/>
      <c r="O99" s="2"/>
      <c r="P99" s="2"/>
      <c r="Q99" s="2"/>
    </row>
    <row r="100" spans="1:17" ht="15.95" customHeight="1" thickBot="1" x14ac:dyDescent="0.3">
      <c r="A100" s="2"/>
      <c r="B100" s="52"/>
      <c r="C100" s="2"/>
      <c r="D100" s="2"/>
      <c r="E100" s="2"/>
      <c r="F100" s="2"/>
      <c r="G100" s="35">
        <v>6</v>
      </c>
      <c r="H100" s="60">
        <v>200000</v>
      </c>
      <c r="I100" s="2"/>
      <c r="J100" s="2"/>
      <c r="K100" s="2"/>
      <c r="L100" s="51"/>
      <c r="M100" s="2"/>
      <c r="N100" s="2"/>
      <c r="O100" s="2"/>
      <c r="P100" s="2"/>
      <c r="Q100" s="2"/>
    </row>
    <row r="101" spans="1:17" ht="15.95" customHeight="1" thickBot="1" x14ac:dyDescent="0.3">
      <c r="A101" s="2"/>
      <c r="B101" s="52"/>
      <c r="C101" s="2"/>
      <c r="D101" s="2"/>
      <c r="E101" s="2"/>
      <c r="F101" s="2"/>
      <c r="G101" s="36">
        <v>7</v>
      </c>
      <c r="H101" s="60">
        <v>50000</v>
      </c>
      <c r="I101" s="2"/>
      <c r="J101" s="2"/>
      <c r="K101" s="2"/>
      <c r="L101" s="51"/>
      <c r="M101" s="2"/>
      <c r="N101" s="2"/>
      <c r="O101" s="2"/>
      <c r="P101" s="2"/>
      <c r="Q101" s="2"/>
    </row>
    <row r="102" spans="1:17" ht="15.95" customHeight="1" thickBot="1" x14ac:dyDescent="0.3">
      <c r="A102" s="2"/>
      <c r="B102" s="52"/>
      <c r="C102" s="2"/>
      <c r="D102" s="2"/>
      <c r="E102" s="2"/>
      <c r="F102" s="2"/>
      <c r="G102" s="36">
        <v>8</v>
      </c>
      <c r="H102" s="60">
        <v>0</v>
      </c>
      <c r="I102" s="2"/>
      <c r="J102" s="2"/>
      <c r="K102" s="2"/>
      <c r="L102" s="51"/>
      <c r="M102" s="2"/>
      <c r="N102" s="2"/>
      <c r="O102" s="2"/>
      <c r="P102" s="2"/>
      <c r="Q102" s="2"/>
    </row>
    <row r="103" spans="1:17" ht="15.95" customHeight="1" thickBot="1" x14ac:dyDescent="0.3">
      <c r="A103" s="2"/>
      <c r="B103" s="52"/>
      <c r="C103" s="2"/>
      <c r="D103" s="2"/>
      <c r="E103" s="2"/>
      <c r="F103" s="2"/>
      <c r="G103" s="36">
        <v>9</v>
      </c>
      <c r="H103" s="60">
        <v>0</v>
      </c>
      <c r="I103" s="2"/>
      <c r="J103" s="2"/>
      <c r="K103" s="2"/>
      <c r="L103" s="51"/>
      <c r="M103" s="2"/>
      <c r="N103" s="2"/>
      <c r="O103" s="2"/>
      <c r="P103" s="2"/>
      <c r="Q103" s="2"/>
    </row>
    <row r="104" spans="1:17" ht="15.95" customHeight="1" thickBot="1" x14ac:dyDescent="0.3">
      <c r="A104" s="2"/>
      <c r="B104" s="52"/>
      <c r="C104" s="2"/>
      <c r="D104" s="2"/>
      <c r="E104" s="2"/>
      <c r="F104" s="2"/>
      <c r="G104" s="37">
        <v>10</v>
      </c>
      <c r="H104" s="60">
        <v>0</v>
      </c>
      <c r="I104" s="2"/>
      <c r="J104" s="2"/>
      <c r="K104" s="2"/>
      <c r="L104" s="51"/>
      <c r="M104" s="2"/>
      <c r="N104" s="2"/>
      <c r="O104" s="2"/>
      <c r="P104" s="2"/>
      <c r="Q104" s="2"/>
    </row>
    <row r="105" spans="1:17" ht="15.95" customHeight="1" thickBot="1" x14ac:dyDescent="0.3">
      <c r="A105" s="2"/>
      <c r="B105" s="61"/>
      <c r="C105" s="5"/>
      <c r="D105" s="5"/>
      <c r="E105" s="5"/>
      <c r="F105" s="5"/>
      <c r="G105" s="5"/>
      <c r="H105" s="5"/>
      <c r="I105" s="5"/>
      <c r="J105" s="5"/>
      <c r="K105" s="5"/>
      <c r="L105" s="62"/>
      <c r="M105" s="2"/>
      <c r="N105" s="2"/>
      <c r="O105" s="2"/>
      <c r="P105" s="2"/>
      <c r="Q105" s="2"/>
    </row>
    <row r="109" spans="1:17" x14ac:dyDescent="0.2">
      <c r="B109" s="131" t="e">
        <f>$C$83</f>
        <v>#DIV/0!</v>
      </c>
    </row>
    <row r="110" spans="1:17" ht="15" customHeight="1" x14ac:dyDescent="0.25">
      <c r="A110" s="25" t="s">
        <v>83</v>
      </c>
      <c r="B110" s="68" t="s">
        <v>84</v>
      </c>
      <c r="C110" s="67" t="s">
        <v>85</v>
      </c>
      <c r="D110" s="66" t="s">
        <v>86</v>
      </c>
      <c r="E110" s="65" t="s">
        <v>87</v>
      </c>
      <c r="F110" s="2"/>
    </row>
    <row r="111" spans="1:17" ht="15" customHeight="1" x14ac:dyDescent="0.25">
      <c r="A111" s="2"/>
      <c r="B111" s="69" t="e">
        <f>$C$83</f>
        <v>#DIV/0!</v>
      </c>
      <c r="C111" s="69" t="e">
        <f>$C$83</f>
        <v>#DIV/0!</v>
      </c>
      <c r="D111" s="69" t="e">
        <f>$C$83</f>
        <v>#DIV/0!</v>
      </c>
      <c r="E111" s="69" t="e">
        <f>$C$83</f>
        <v>#DIV/0!</v>
      </c>
      <c r="F111" s="2"/>
    </row>
    <row r="112" spans="1:17" ht="15" customHeight="1" x14ac:dyDescent="0.25">
      <c r="A112" s="2"/>
      <c r="B112" s="69" t="e">
        <f>10-B113</f>
        <v>#DIV/0!</v>
      </c>
      <c r="C112" s="69" t="e">
        <f>10-C113</f>
        <v>#DIV/0!</v>
      </c>
      <c r="D112" s="69" t="e">
        <f>10-D113</f>
        <v>#DIV/0!</v>
      </c>
      <c r="E112" s="69" t="e">
        <f>10-E113</f>
        <v>#DIV/0!</v>
      </c>
      <c r="F112" s="2"/>
    </row>
    <row r="113" spans="1:8" ht="15" customHeight="1" x14ac:dyDescent="0.25">
      <c r="A113" s="2"/>
      <c r="B113" s="69" t="e">
        <f>IF(B111=10,B111,"")</f>
        <v>#DIV/0!</v>
      </c>
      <c r="C113" s="69" t="e">
        <f>IF(AND(C111&gt;=7,C111&lt;=9),C111,"")</f>
        <v>#DIV/0!</v>
      </c>
      <c r="D113" s="69" t="e">
        <f>IF(AND(D111&gt;=4,D111&lt;=6),D111,"")</f>
        <v>#DIV/0!</v>
      </c>
      <c r="E113" s="69" t="e">
        <f>IF(AND(E111&gt;=1,E111&lt;=3),E111,"")</f>
        <v>#DIV/0!</v>
      </c>
      <c r="F113" s="2"/>
    </row>
    <row r="114" spans="1:8" ht="15" customHeight="1" x14ac:dyDescent="0.25">
      <c r="A114" s="2"/>
      <c r="B114" s="69">
        <v>10</v>
      </c>
      <c r="C114" s="69">
        <v>10</v>
      </c>
      <c r="D114" s="69">
        <v>10</v>
      </c>
      <c r="E114" s="69">
        <v>10</v>
      </c>
      <c r="F114" s="2"/>
    </row>
    <row r="115" spans="1:8" ht="15" customHeight="1" x14ac:dyDescent="0.25">
      <c r="A115" s="2"/>
      <c r="B115" s="2"/>
      <c r="C115" s="2"/>
      <c r="D115" s="2"/>
      <c r="E115" s="2"/>
      <c r="F115" s="2"/>
    </row>
    <row r="116" spans="1:8" ht="15" customHeight="1" x14ac:dyDescent="0.25">
      <c r="A116" s="2"/>
      <c r="B116" s="2"/>
      <c r="C116" s="2"/>
      <c r="D116" s="2"/>
      <c r="E116" s="2"/>
      <c r="F116" s="2"/>
    </row>
    <row r="117" spans="1:8" ht="15" customHeight="1" x14ac:dyDescent="0.25">
      <c r="B117" s="2"/>
      <c r="C117" s="2"/>
      <c r="D117" s="2"/>
      <c r="E117" s="2"/>
      <c r="F117" s="2"/>
    </row>
    <row r="118" spans="1:8" ht="15" customHeight="1" x14ac:dyDescent="0.25">
      <c r="A118" s="2"/>
      <c r="B118" s="1" t="s">
        <v>88</v>
      </c>
      <c r="C118" s="1" t="s">
        <v>89</v>
      </c>
      <c r="D118" s="79" t="s">
        <v>90</v>
      </c>
      <c r="E118" s="79" t="s">
        <v>91</v>
      </c>
      <c r="F118" s="80" t="s">
        <v>92</v>
      </c>
      <c r="G118" s="81" t="s">
        <v>93</v>
      </c>
      <c r="H118" s="81" t="s">
        <v>94</v>
      </c>
    </row>
    <row r="119" spans="1:8" ht="15" customHeight="1" x14ac:dyDescent="0.25">
      <c r="A119" s="2"/>
      <c r="B119" s="2"/>
      <c r="C119" s="2"/>
      <c r="D119" s="76">
        <v>5</v>
      </c>
      <c r="E119" s="76">
        <v>4</v>
      </c>
      <c r="F119" s="77">
        <v>3</v>
      </c>
      <c r="G119" s="78">
        <v>2</v>
      </c>
      <c r="H119" s="78">
        <v>1</v>
      </c>
    </row>
    <row r="120" spans="1:8" ht="15" customHeight="1" x14ac:dyDescent="0.25">
      <c r="A120" s="74" t="s">
        <v>95</v>
      </c>
      <c r="B120" s="74"/>
      <c r="C120" s="74"/>
      <c r="D120" s="74"/>
      <c r="E120" s="74"/>
      <c r="F120" s="74"/>
      <c r="G120" s="74"/>
      <c r="H120" s="74"/>
    </row>
    <row r="121" spans="1:8" ht="15" customHeight="1" x14ac:dyDescent="0.25">
      <c r="A121" s="2" t="s">
        <v>96</v>
      </c>
      <c r="B121" s="70" t="str">
        <f>+Report!D98</f>
        <v/>
      </c>
      <c r="C121" s="2">
        <f t="shared" ref="C121:C126" si="4">IF(B121&lt;=D121,$D$119,IF(B121&lt;=E121,$E$119,IF(B121&lt;=F121,$F$119,IF(B121&lt;=G121,$G$119,IF(OR(B121&lt;=H121,B121&gt;=H121),$H$119,"")))))</f>
        <v>1</v>
      </c>
      <c r="D121" s="20">
        <v>-0.1</v>
      </c>
      <c r="E121" s="20">
        <v>-0.05</v>
      </c>
      <c r="F121" s="20">
        <v>0</v>
      </c>
      <c r="G121" s="20">
        <v>0.05</v>
      </c>
      <c r="H121" s="20">
        <v>0.1</v>
      </c>
    </row>
    <row r="122" spans="1:8" ht="15" customHeight="1" x14ac:dyDescent="0.25">
      <c r="A122" s="2" t="s">
        <v>97</v>
      </c>
      <c r="B122" s="70" t="str">
        <f>+Report!D115</f>
        <v/>
      </c>
      <c r="C122" s="2">
        <f t="shared" si="4"/>
        <v>1</v>
      </c>
      <c r="D122" s="20">
        <v>-7.0000000000000007E-2</v>
      </c>
      <c r="E122" s="20">
        <v>-0.03</v>
      </c>
      <c r="F122" s="20">
        <v>0</v>
      </c>
      <c r="G122" s="20">
        <v>0.03</v>
      </c>
      <c r="H122" s="20">
        <v>7.0000000000000007E-2</v>
      </c>
    </row>
    <row r="123" spans="1:8" ht="15" customHeight="1" x14ac:dyDescent="0.25">
      <c r="A123" s="2" t="s">
        <v>98</v>
      </c>
      <c r="B123" s="20" t="e">
        <f>+Report!B116-Report!C116</f>
        <v>#DIV/0!</v>
      </c>
      <c r="C123" s="2" t="e">
        <f t="shared" si="4"/>
        <v>#DIV/0!</v>
      </c>
      <c r="D123" s="20">
        <v>-0.05</v>
      </c>
      <c r="E123" s="20">
        <v>-0.03</v>
      </c>
      <c r="F123" s="20">
        <v>0</v>
      </c>
      <c r="G123" s="20">
        <v>0.03</v>
      </c>
      <c r="H123" s="20">
        <v>7.0000000000000007E-2</v>
      </c>
    </row>
    <row r="124" spans="1:8" ht="15" customHeight="1" x14ac:dyDescent="0.25">
      <c r="A124" s="2" t="s">
        <v>99</v>
      </c>
      <c r="B124" s="70" t="str">
        <f>+Report!D119</f>
        <v/>
      </c>
      <c r="C124" s="2">
        <f t="shared" si="4"/>
        <v>1</v>
      </c>
      <c r="D124" s="20">
        <v>-0.03</v>
      </c>
      <c r="E124" s="20">
        <v>-0.01</v>
      </c>
      <c r="F124" s="20">
        <v>0</v>
      </c>
      <c r="G124" s="20">
        <v>0.03</v>
      </c>
      <c r="H124" s="20">
        <v>0.05</v>
      </c>
    </row>
    <row r="125" spans="1:8" ht="15" customHeight="1" x14ac:dyDescent="0.25">
      <c r="A125" s="2" t="s">
        <v>100</v>
      </c>
      <c r="B125" s="18" t="e">
        <f>+(Report!B119/Report!B98)-(Report!C119/Report!C98)</f>
        <v>#DIV/0!</v>
      </c>
      <c r="C125" s="2" t="e">
        <f t="shared" si="4"/>
        <v>#DIV/0!</v>
      </c>
      <c r="D125" s="20">
        <v>-0.03</v>
      </c>
      <c r="E125" s="20">
        <v>-0.01</v>
      </c>
      <c r="F125" s="20">
        <v>0</v>
      </c>
      <c r="G125" s="20">
        <v>0.02</v>
      </c>
      <c r="H125" s="20">
        <v>0.05</v>
      </c>
    </row>
    <row r="126" spans="1:8" ht="15" customHeight="1" x14ac:dyDescent="0.25">
      <c r="A126" s="2" t="s">
        <v>64</v>
      </c>
      <c r="B126" s="18" t="e">
        <f>+B65</f>
        <v>#DIV/0!</v>
      </c>
      <c r="C126" s="2" t="e">
        <f t="shared" si="4"/>
        <v>#DIV/0!</v>
      </c>
      <c r="D126" s="20">
        <v>-0.05</v>
      </c>
      <c r="E126" s="20">
        <v>0</v>
      </c>
      <c r="F126" s="20">
        <v>0.05</v>
      </c>
      <c r="G126" s="20">
        <v>0.15</v>
      </c>
      <c r="H126" s="20">
        <v>0.2</v>
      </c>
    </row>
    <row r="127" spans="1:8" ht="15" customHeight="1" x14ac:dyDescent="0.25">
      <c r="A127" s="74" t="s">
        <v>101</v>
      </c>
      <c r="B127" s="71"/>
      <c r="C127" s="75" t="e">
        <f>ROUND(IF($I$92="Microimpresa",AVERAGE(C121:C126)+0.5,IF($I$92="Piccola impresa",AVERAGE(C121:C126)+0.25,IF($I$92="Media impresa",AVERAGE(C121:C126)+0.125,IF($I$92="Grande impresa",AVERAGE(C121:C126),"")))),0)</f>
        <v>#DIV/0!</v>
      </c>
      <c r="D127" s="2"/>
      <c r="E127" s="2"/>
      <c r="F127" s="2"/>
      <c r="G127" s="2"/>
      <c r="H127" s="2"/>
    </row>
    <row r="128" spans="1:8" ht="15" customHeight="1" x14ac:dyDescent="0.25">
      <c r="A128" s="2"/>
      <c r="B128" s="2"/>
      <c r="C128" s="2"/>
      <c r="D128" s="2"/>
      <c r="E128" s="2"/>
      <c r="F128" s="2"/>
      <c r="G128" s="2"/>
      <c r="H128" s="2"/>
    </row>
    <row r="129" spans="1:9" ht="15" customHeight="1" x14ac:dyDescent="0.25">
      <c r="A129" s="74" t="s">
        <v>102</v>
      </c>
      <c r="B129" s="74"/>
      <c r="C129" s="74"/>
      <c r="D129" s="74"/>
      <c r="E129" s="74"/>
      <c r="F129" s="74"/>
      <c r="G129" s="74"/>
      <c r="H129" s="74"/>
    </row>
    <row r="130" spans="1:9" ht="15" customHeight="1" x14ac:dyDescent="0.25">
      <c r="A130" s="2" t="s">
        <v>103</v>
      </c>
      <c r="B130" s="70" t="e">
        <f>+Report!B70</f>
        <v>#DIV/0!</v>
      </c>
      <c r="C130" s="2" t="e">
        <f>IF(B130&lt;=D130,$D$119,IF(B130&lt;=E130,$E$119,IF(B130&lt;=F130,$F$119,IF(B130&lt;=G130,$G$119,IF(OR(B130&lt;=H130,B130&gt;=H130),$H$119,"")))))</f>
        <v>#DIV/0!</v>
      </c>
      <c r="D130" s="20">
        <v>0.05</v>
      </c>
      <c r="E130" s="20">
        <v>0.1</v>
      </c>
      <c r="F130" s="20">
        <v>0.2</v>
      </c>
      <c r="G130" s="20">
        <v>0.3</v>
      </c>
      <c r="H130" s="20">
        <v>0.5</v>
      </c>
    </row>
    <row r="131" spans="1:9" ht="15" customHeight="1" x14ac:dyDescent="0.25">
      <c r="A131" s="2" t="s">
        <v>104</v>
      </c>
      <c r="B131" s="70" t="str">
        <f>+Report!D69</f>
        <v/>
      </c>
      <c r="C131" s="2">
        <f>IF(B131&lt;=D131,$D$119,IF(B131&lt;=E131,$E$119,IF(B131&lt;=F131,$F$119,IF(B131&lt;=G131,$G$119,IF(OR(B131&lt;=H131,B131&gt;=H131),$H$119,"")))))</f>
        <v>1</v>
      </c>
      <c r="D131" s="20">
        <v>-0.35</v>
      </c>
      <c r="E131" s="20">
        <v>-0.15</v>
      </c>
      <c r="F131" s="20">
        <v>0</v>
      </c>
      <c r="G131" s="20">
        <v>0.15</v>
      </c>
      <c r="H131" s="20">
        <v>0.35</v>
      </c>
    </row>
    <row r="132" spans="1:9" ht="15" customHeight="1" x14ac:dyDescent="0.25">
      <c r="A132" s="2" t="s">
        <v>105</v>
      </c>
      <c r="B132" s="72">
        <f>+Report!B69-Report!B87</f>
        <v>0</v>
      </c>
      <c r="C132" s="2">
        <f>IF(B132&gt;F132,F119,E119)</f>
        <v>4</v>
      </c>
      <c r="D132" s="20"/>
      <c r="E132" s="2"/>
      <c r="F132" s="2">
        <v>0</v>
      </c>
      <c r="G132" s="2"/>
      <c r="H132" s="20"/>
    </row>
    <row r="133" spans="1:9" ht="15" customHeight="1" x14ac:dyDescent="0.25">
      <c r="A133" s="2" t="s">
        <v>106</v>
      </c>
      <c r="B133" s="72">
        <f>+Report!B69-Report!B86</f>
        <v>0</v>
      </c>
      <c r="C133" s="2">
        <f>IF(B133&gt;F133,G119,F119)</f>
        <v>3</v>
      </c>
      <c r="D133" s="2"/>
      <c r="E133" s="2"/>
      <c r="F133" s="2">
        <v>0</v>
      </c>
      <c r="G133" s="2"/>
      <c r="H133" s="2"/>
    </row>
    <row r="134" spans="1:9" ht="15" customHeight="1" x14ac:dyDescent="0.25">
      <c r="A134" s="2" t="s">
        <v>107</v>
      </c>
      <c r="B134" s="18" t="e">
        <f>+(Report!B136-Report!C136)/Report!C136</f>
        <v>#DIV/0!</v>
      </c>
      <c r="C134" s="2" t="e">
        <f>IF(B134&lt;=D134,$D$119,IF(B134&lt;=E134,$E$119,IF(B134&lt;=F134,$F$119,IF(B134&lt;=G134,$G$119,IF(OR(B134&lt;=H134,B134&gt;=H134),$H$119,"")))))</f>
        <v>#DIV/0!</v>
      </c>
      <c r="D134" s="18">
        <v>-0.1</v>
      </c>
      <c r="E134" s="18">
        <v>-0.05</v>
      </c>
      <c r="F134" s="18">
        <v>0</v>
      </c>
      <c r="G134" s="18">
        <v>0.05</v>
      </c>
      <c r="H134" s="18">
        <v>0.1</v>
      </c>
      <c r="I134" s="8"/>
    </row>
    <row r="135" spans="1:9" ht="15" customHeight="1" x14ac:dyDescent="0.25">
      <c r="A135" s="74" t="s">
        <v>101</v>
      </c>
      <c r="B135" s="73"/>
      <c r="C135" s="75" t="e">
        <f>ROUND(IF($I$92="Microimpresa",AVERAGE(C130:C134)+0.5,IF($I$92="Piccola impresa",AVERAGE(C130:C134)+0.25,IF($I$92="Media impresa",AVERAGE(C130:C134)+0.125,IF($I$92="Grande impresa",AVERAGE(C130:C134),"")))),0)</f>
        <v>#DIV/0!</v>
      </c>
      <c r="D135" s="18"/>
      <c r="E135" s="18"/>
      <c r="F135" s="18"/>
      <c r="G135" s="18"/>
      <c r="H135" s="18"/>
      <c r="I135" s="8"/>
    </row>
    <row r="136" spans="1:9" ht="15" customHeight="1" x14ac:dyDescent="0.25">
      <c r="A136" s="2"/>
      <c r="B136" s="2"/>
      <c r="C136" s="2"/>
      <c r="D136" s="2"/>
      <c r="E136" s="2"/>
      <c r="F136" s="2"/>
      <c r="G136" s="2"/>
      <c r="H136" s="2"/>
    </row>
    <row r="137" spans="1:9" ht="15" customHeight="1" x14ac:dyDescent="0.25">
      <c r="A137" s="74" t="s">
        <v>108</v>
      </c>
      <c r="B137" s="74"/>
      <c r="C137" s="74"/>
      <c r="D137" s="74"/>
      <c r="E137" s="74"/>
      <c r="F137" s="74"/>
      <c r="G137" s="74"/>
      <c r="H137" s="74"/>
    </row>
    <row r="138" spans="1:9" ht="15" customHeight="1" x14ac:dyDescent="0.25">
      <c r="A138" s="2" t="s">
        <v>109</v>
      </c>
      <c r="B138" s="70" t="e">
        <f>+Report!B77</f>
        <v>#DIV/0!</v>
      </c>
      <c r="C138" s="2" t="e">
        <f>IF(B138&lt;=D138,$D$119,IF(B138&lt;=E138,$E$119,IF(B138&lt;=F138,$F$119,IF(B138&lt;=G138,$G$119,IF(OR(B138&lt;=H138,B138&gt;=H138),$H$119,"")))))</f>
        <v>#DIV/0!</v>
      </c>
      <c r="D138" s="20">
        <v>0.15</v>
      </c>
      <c r="E138" s="20">
        <v>0.25</v>
      </c>
      <c r="F138" s="20">
        <v>0.35</v>
      </c>
      <c r="G138" s="20">
        <v>0.45</v>
      </c>
      <c r="H138" s="20">
        <v>0.55000000000000004</v>
      </c>
    </row>
    <row r="139" spans="1:9" ht="15" customHeight="1" x14ac:dyDescent="0.25">
      <c r="A139" s="2" t="s">
        <v>58</v>
      </c>
      <c r="B139" s="63" t="e">
        <f>+B60</f>
        <v>#DIV/0!</v>
      </c>
      <c r="C139" s="2" t="e">
        <f>IF(B139&gt;=D139,$D$119,IF(B139&gt;=E139,$E$119,IF(B139&gt;=F139,$F$119,IF(B139&gt;=G139,$G$119,IF(OR(B139&gt;=H139,B139&lt;=H139),$H$119,"")))))</f>
        <v>#DIV/0!</v>
      </c>
      <c r="D139" s="2">
        <v>2</v>
      </c>
      <c r="E139" s="2">
        <v>1.5</v>
      </c>
      <c r="F139" s="2">
        <v>1</v>
      </c>
      <c r="G139" s="2">
        <v>0.6</v>
      </c>
      <c r="H139" s="2">
        <v>0.4</v>
      </c>
    </row>
    <row r="140" spans="1:9" ht="15" customHeight="1" x14ac:dyDescent="0.25">
      <c r="A140" s="74" t="s">
        <v>101</v>
      </c>
      <c r="B140" s="71"/>
      <c r="C140" s="75" t="e">
        <f>ROUND(IF($I$92="Microimpresa",AVERAGE(C138:C139)+0.5,IF($I$92="Piccola impresa",AVERAGE(C138:C139)+0.25,IF($I$92="Media impresa",AVERAGE(C138:C139)+0.125,IF($I$92="Grande impresa",AVERAGE(C138:C139),"")))),0)</f>
        <v>#DIV/0!</v>
      </c>
      <c r="D140" s="2"/>
      <c r="E140" s="2"/>
      <c r="F140" s="2"/>
      <c r="G140" s="2"/>
      <c r="H140" s="2"/>
    </row>
    <row r="141" spans="1:9" ht="15" customHeight="1" x14ac:dyDescent="0.25">
      <c r="A141" s="2"/>
      <c r="B141" s="2"/>
      <c r="C141" s="2"/>
      <c r="D141" s="2"/>
      <c r="E141" s="2"/>
      <c r="F141" s="2"/>
      <c r="G141" s="2"/>
      <c r="H141" s="2"/>
    </row>
    <row r="142" spans="1:9" ht="15" customHeight="1" x14ac:dyDescent="0.25">
      <c r="A142" s="2"/>
      <c r="B142" s="2"/>
      <c r="C142" s="2"/>
      <c r="D142" s="2"/>
      <c r="E142" s="2"/>
      <c r="F142" s="2"/>
      <c r="G142" s="2"/>
      <c r="H142" s="2"/>
    </row>
    <row r="143" spans="1:9" ht="15" customHeight="1" x14ac:dyDescent="0.25">
      <c r="A143" s="2"/>
      <c r="B143" s="2"/>
      <c r="C143" s="2"/>
      <c r="D143" s="2"/>
      <c r="E143" s="2"/>
      <c r="F143" s="2"/>
      <c r="G143" s="2"/>
      <c r="H143" s="2"/>
    </row>
  </sheetData>
  <mergeCells count="1">
    <mergeCell ref="H55:Q55"/>
  </mergeCells>
  <conditionalFormatting sqref="B52:D53">
    <cfRule type="cellIs" dxfId="36" priority="9" operator="equal">
      <formula>FALSE</formula>
    </cfRule>
    <cfRule type="cellIs" dxfId="35" priority="10" operator="equal">
      <formula>TRUE</formula>
    </cfRule>
  </conditionalFormatting>
  <conditionalFormatting sqref="C57:C58 C60:C63 C65:C70 C72">
    <cfRule type="cellIs" dxfId="34" priority="5" operator="equal">
      <formula>10</formula>
    </cfRule>
    <cfRule type="cellIs" dxfId="33" priority="6" operator="between">
      <formula>7</formula>
      <formula>9</formula>
    </cfRule>
    <cfRule type="cellIs" dxfId="32" priority="7" operator="between">
      <formula>4</formula>
      <formula>6</formula>
    </cfRule>
    <cfRule type="cellIs" dxfId="31" priority="8" operator="lessThan">
      <formula>4</formula>
    </cfRule>
  </conditionalFormatting>
  <conditionalFormatting sqref="E75 C83">
    <cfRule type="cellIs" dxfId="30" priority="1" operator="between">
      <formula>1</formula>
      <formula>3</formula>
    </cfRule>
    <cfRule type="cellIs" dxfId="29" priority="2" operator="equal">
      <formula>10</formula>
    </cfRule>
    <cfRule type="cellIs" dxfId="28" priority="3" operator="between">
      <formula>7</formula>
      <formula>9</formula>
    </cfRule>
    <cfRule type="cellIs" dxfId="27" priority="4" operator="between">
      <formula>4</formula>
      <formula>6</formula>
    </cfRule>
  </conditionalFormatting>
  <dataValidations count="2">
    <dataValidation type="list" allowBlank="1" showInputMessage="1" showErrorMessage="1" sqref="C2" xr:uid="{00000000-0002-0000-0000-000000000000}">
      <formula1>"Cliente,Fornitore"</formula1>
    </dataValidation>
    <dataValidation type="list" allowBlank="1" showInputMessage="1" showErrorMessage="1" sqref="D2" xr:uid="{00000000-0002-0000-0000-000001000000}">
      <formula1>"1,2,3,4,5,6,7,8,9,10,n.d."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1"/>
  <dimension ref="A1:H185"/>
  <sheetViews>
    <sheetView view="pageBreakPreview" zoomScaleNormal="100" zoomScaleSheetLayoutView="100" workbookViewId="0">
      <selection activeCell="B11" sqref="B11"/>
    </sheetView>
  </sheetViews>
  <sheetFormatPr defaultColWidth="8.875" defaultRowHeight="14.25" x14ac:dyDescent="0.2"/>
  <cols>
    <col min="1" max="1" width="33.625" customWidth="1"/>
    <col min="2" max="3" width="22.125" customWidth="1"/>
    <col min="4" max="4" width="27.875" customWidth="1"/>
    <col min="6" max="6" width="11.875" customWidth="1"/>
    <col min="7" max="7" width="44.625" customWidth="1"/>
    <col min="9" max="9" width="14.875" customWidth="1"/>
    <col min="10" max="10" width="14.625" customWidth="1"/>
  </cols>
  <sheetData>
    <row r="1" spans="1:8" ht="35.1" customHeight="1" x14ac:dyDescent="0.4">
      <c r="A1" s="129"/>
      <c r="B1" s="177">
        <f>Input!B1</f>
        <v>0</v>
      </c>
      <c r="C1" s="127"/>
      <c r="D1" s="127"/>
      <c r="E1" s="127"/>
      <c r="F1" s="128"/>
      <c r="G1" s="12"/>
      <c r="H1" s="12"/>
    </row>
    <row r="2" spans="1:8" ht="11.45" customHeight="1" x14ac:dyDescent="0.65">
      <c r="A2" s="83"/>
      <c r="B2" s="84"/>
      <c r="C2" s="82"/>
      <c r="D2" s="84"/>
      <c r="E2" s="82"/>
      <c r="F2" s="85"/>
    </row>
    <row r="3" spans="1:8" ht="18.95" customHeight="1" thickBot="1" x14ac:dyDescent="0.55000000000000004">
      <c r="A3" s="130" t="s">
        <v>110</v>
      </c>
      <c r="B3" s="84"/>
      <c r="C3" s="82"/>
      <c r="D3" s="84"/>
      <c r="E3" s="82"/>
      <c r="F3" s="86"/>
    </row>
    <row r="4" spans="1:8" ht="21" customHeight="1" thickTop="1" x14ac:dyDescent="0.4">
      <c r="A4" s="82" t="s">
        <v>111</v>
      </c>
      <c r="B4" s="82">
        <f>Input!$E$47</f>
        <v>0</v>
      </c>
      <c r="C4" s="82"/>
      <c r="D4" s="82"/>
      <c r="E4" s="82"/>
      <c r="F4" s="82"/>
    </row>
    <row r="5" spans="1:8" ht="18.75" customHeight="1" x14ac:dyDescent="0.4">
      <c r="A5" s="82" t="s">
        <v>43</v>
      </c>
      <c r="B5" s="82">
        <f>Input!$B$46</f>
        <v>0</v>
      </c>
      <c r="C5" s="82"/>
      <c r="D5" s="121" t="s">
        <v>3</v>
      </c>
      <c r="E5" s="82"/>
      <c r="F5" s="82"/>
    </row>
    <row r="6" spans="1:8" ht="18.75" customHeight="1" x14ac:dyDescent="0.4">
      <c r="A6" s="82" t="s">
        <v>112</v>
      </c>
      <c r="B6" s="82">
        <f>Input!$B$48</f>
        <v>0</v>
      </c>
      <c r="C6" s="82"/>
      <c r="D6" s="178" t="e">
        <f>IF(Input!E2="",Input!$D$85,Input!$E$2)</f>
        <v>#DIV/0!</v>
      </c>
      <c r="E6" s="82"/>
      <c r="F6" s="82"/>
    </row>
    <row r="7" spans="1:8" ht="18.75" customHeight="1" x14ac:dyDescent="0.4">
      <c r="A7" s="82" t="s">
        <v>113</v>
      </c>
      <c r="B7" s="82">
        <f>Input!$B$49</f>
        <v>0</v>
      </c>
      <c r="C7" s="82"/>
      <c r="D7" s="82"/>
      <c r="E7" s="82"/>
      <c r="F7" s="82"/>
    </row>
    <row r="8" spans="1:8" ht="11.1" customHeight="1" x14ac:dyDescent="0.4">
      <c r="A8" s="82"/>
      <c r="B8" s="82"/>
      <c r="C8" s="82"/>
      <c r="D8" s="82"/>
      <c r="E8" s="82"/>
      <c r="F8" s="82"/>
    </row>
    <row r="9" spans="1:8" ht="9.6" customHeight="1" thickBot="1" x14ac:dyDescent="0.45">
      <c r="A9" s="82"/>
      <c r="B9" s="82"/>
      <c r="D9" s="82"/>
      <c r="E9" s="82"/>
      <c r="F9" s="82"/>
    </row>
    <row r="10" spans="1:8" ht="18" customHeight="1" thickBot="1" x14ac:dyDescent="0.25">
      <c r="A10" s="120" t="s">
        <v>114</v>
      </c>
    </row>
    <row r="11" spans="1:8" ht="26.25" customHeight="1" thickBot="1" x14ac:dyDescent="0.25">
      <c r="A11" s="181" t="str">
        <f>IF(B11="Eccellente","nnnnnnnnnnnnn",IF(B11="Positiva","nnnnnnnnnn",IF(B11="Adeguata","nnnnnnn",IF(B11="Critica","nnnn",IF(B11="Molto Critica","n","")))))</f>
        <v>nnnnnnn</v>
      </c>
      <c r="B11" s="87" t="s">
        <v>92</v>
      </c>
      <c r="D11" s="121" t="s">
        <v>2</v>
      </c>
    </row>
    <row r="12" spans="1:8" ht="18.95" customHeight="1" thickBot="1" x14ac:dyDescent="0.3">
      <c r="A12" s="10"/>
      <c r="B12" s="7"/>
      <c r="D12" s="7"/>
    </row>
    <row r="13" spans="1:8" ht="18" customHeight="1" thickBot="1" x14ac:dyDescent="0.25">
      <c r="A13" s="120" t="s">
        <v>115</v>
      </c>
      <c r="D13" s="14"/>
    </row>
    <row r="14" spans="1:8" ht="26.25" customHeight="1" thickBot="1" x14ac:dyDescent="0.25">
      <c r="A14" s="181" t="str">
        <f>IF(B14="Eccellente","nnnnnnnnnnnnn",IF(B14="Positiva","nnnnnnnnnn",IF(B14="Adeguata","nnnnnnn",IF(B14="Critica","nnnn",IF(B14="Molto Critica","n","")))))</f>
        <v/>
      </c>
      <c r="B14" s="87"/>
      <c r="D14" s="14"/>
    </row>
    <row r="15" spans="1:8" ht="24" customHeight="1" thickBot="1" x14ac:dyDescent="0.3">
      <c r="A15" s="10"/>
      <c r="B15" s="7"/>
      <c r="D15" s="175" t="e">
        <f>IF(Input!D2="",Input!$C$83,Input!$D$2)</f>
        <v>#DIV/0!</v>
      </c>
    </row>
    <row r="16" spans="1:8" ht="17.100000000000001" customHeight="1" thickBot="1" x14ac:dyDescent="0.25">
      <c r="A16" s="120" t="s">
        <v>116</v>
      </c>
      <c r="D16" s="15"/>
    </row>
    <row r="17" spans="1:6" ht="24" customHeight="1" thickBot="1" x14ac:dyDescent="0.25">
      <c r="A17" s="181" t="str">
        <f>IF(B17="Eccellente","nnnnnnnnnnnnn",IF(B17="Positiva","nnnnnnnnnn",IF(B17="Adeguata","nnnnnnn",IF(B17="Critica","nnnn",IF(B17="Molto Critica","n","")))))</f>
        <v>nnnnnnn</v>
      </c>
      <c r="B17" s="87" t="s">
        <v>92</v>
      </c>
      <c r="D17" s="15"/>
    </row>
    <row r="19" spans="1:6" ht="9" customHeight="1" x14ac:dyDescent="0.2">
      <c r="A19" s="13"/>
      <c r="B19" s="13"/>
    </row>
    <row r="20" spans="1:6" ht="18" customHeight="1" thickBot="1" x14ac:dyDescent="0.25">
      <c r="A20" s="180" t="s">
        <v>117</v>
      </c>
      <c r="B20" s="13" t="str">
        <f>IF(B98&gt;=1000000,TEXT(TRUNC(B98/1000000,2),"0,00")&amp;" mln",IF(B98&gt;=1000,TEXT(TRUNC(B98/1000,2),"0,00")&amp;"k",TEXT(B98,"0,00")))</f>
        <v>0,00</v>
      </c>
    </row>
    <row r="21" spans="1:6" ht="15" customHeight="1" thickTop="1" x14ac:dyDescent="0.2">
      <c r="A21" s="13"/>
      <c r="B21" s="13"/>
    </row>
    <row r="22" spans="1:6" ht="20.100000000000001" customHeight="1" x14ac:dyDescent="0.4">
      <c r="A22" s="134" t="s">
        <v>118</v>
      </c>
      <c r="B22" s="134" t="s">
        <v>18</v>
      </c>
      <c r="C22" s="134" t="s">
        <v>119</v>
      </c>
      <c r="D22" s="134" t="s">
        <v>120</v>
      </c>
      <c r="E22" s="132"/>
      <c r="F22" s="132"/>
    </row>
    <row r="23" spans="1:6" ht="29.1" customHeight="1" x14ac:dyDescent="0.4">
      <c r="A23" s="135">
        <f>+Input!B8</f>
        <v>0</v>
      </c>
      <c r="B23" s="135">
        <f>+Input!B17</f>
        <v>0</v>
      </c>
      <c r="C23" s="135">
        <f>+Input!B17+Input!B14</f>
        <v>0</v>
      </c>
      <c r="D23" s="135">
        <f>+Input!B20</f>
        <v>0</v>
      </c>
      <c r="E23" s="132"/>
      <c r="F23" s="132"/>
    </row>
    <row r="24" spans="1:6" ht="29.1" customHeight="1" x14ac:dyDescent="0.4">
      <c r="A24" s="136" t="str">
        <f>IFERROR(TEXT((Input!B8-Input!C8)/Input!C8,"+0,00%;-0,00%;0,00%") &amp; " vs " &amp; TEXT(Input!C8,"#.##0"),"n.d.")</f>
        <v>n.d.</v>
      </c>
      <c r="B24" s="136" t="str">
        <f>IFERROR(TEXT((Input!B17-Input!C17)/Input!C17,"+0,00%;-0,00%;0,00%") &amp; " vs " &amp; TEXT(Input!C17,"#.##0"),"n.d.")</f>
        <v>n.d.</v>
      </c>
      <c r="C24" s="136" t="str">
        <f>IFERROR(TEXT(((Input!B17+Input!B14)-(Input!C17+Input!C14))/(Input!C17+Input!C14),"+0,00%;-0,00%;0,00%") &amp; " vs " &amp; TEXT((Input!C17+Input!C14),"#.##0"),"n.d.")</f>
        <v>n.d.</v>
      </c>
      <c r="D24" s="136" t="str">
        <f>IFERROR(TEXT((Input!B20-Input!C20)/Input!C20,"+0,00%;-0,00%;0,00%") &amp; " vs " &amp; TEXT(Input!C20,"#.##0"),"n.d.")</f>
        <v>n.d.</v>
      </c>
      <c r="E24" s="132"/>
      <c r="F24" s="132"/>
    </row>
    <row r="25" spans="1:6" ht="14.45" customHeight="1" x14ac:dyDescent="0.4">
      <c r="A25" s="136"/>
      <c r="B25" s="136"/>
      <c r="C25" s="136"/>
      <c r="D25" s="136"/>
      <c r="E25" s="132"/>
      <c r="F25" s="132"/>
    </row>
    <row r="26" spans="1:6" ht="23.1" customHeight="1" x14ac:dyDescent="0.4">
      <c r="A26" s="134" t="s">
        <v>121</v>
      </c>
      <c r="B26" s="134" t="s">
        <v>122</v>
      </c>
      <c r="C26" s="134" t="s">
        <v>123</v>
      </c>
      <c r="D26" s="134" t="s">
        <v>22</v>
      </c>
      <c r="E26" s="132"/>
      <c r="F26" s="132"/>
    </row>
    <row r="27" spans="1:6" ht="29.1" customHeight="1" x14ac:dyDescent="0.4">
      <c r="A27" s="137">
        <f>+Input!B34</f>
        <v>0</v>
      </c>
      <c r="B27" s="137">
        <f>+Input!B40</f>
        <v>0</v>
      </c>
      <c r="C27" s="137">
        <f>+Input!B31</f>
        <v>0</v>
      </c>
      <c r="D27" s="138">
        <f>+Input!B21</f>
        <v>0</v>
      </c>
      <c r="E27" s="132"/>
      <c r="F27" s="132"/>
    </row>
    <row r="28" spans="1:6" ht="29.1" customHeight="1" x14ac:dyDescent="0.4">
      <c r="A28" s="136" t="str">
        <f>IFERROR(TEXT((Input!B34-Input!C34)/Input!C34,"+0,00%;-0,00%;0,00%") &amp; " vs " &amp; TEXT(Input!C34,"#.##0"),"n.d.")</f>
        <v>n.d.</v>
      </c>
      <c r="B28" s="136" t="str">
        <f>IFERROR(TEXT((Input!B40-Input!C40)/Input!C40,"+0,00%;-0,00%;0,00%")&amp;" vs "&amp;TEXT(Input!C40,"#.##0"),"n.d.")</f>
        <v>n.d.</v>
      </c>
      <c r="C28" s="136" t="str">
        <f>IFERROR(TEXT((Input!B31-Input!C31)/Input!C31,"+0,00%;-0,00%;0,00%") &amp; " vs " &amp; TEXT(Input!C31,"#.##0"),"n.d.")</f>
        <v>n.d.</v>
      </c>
      <c r="D28" s="136" t="str">
        <f>IFERROR(TEXT((Input!B21-Input!C21)/Input!C21,"+0,00%;-0,00%;0,00%") &amp; " vs " &amp; TEXT(Input!C21,"#.##0"),"n.d.")</f>
        <v>n.d.</v>
      </c>
      <c r="E28" s="132"/>
      <c r="F28" s="132"/>
    </row>
    <row r="29" spans="1:6" ht="9" customHeight="1" x14ac:dyDescent="0.4">
      <c r="A29" s="132"/>
      <c r="B29" s="132"/>
      <c r="C29" s="132"/>
      <c r="D29" s="132"/>
      <c r="E29" s="132"/>
      <c r="F29" s="132"/>
    </row>
    <row r="30" spans="1:6" ht="11.1" customHeight="1" x14ac:dyDescent="0.4">
      <c r="A30" s="132"/>
      <c r="B30" s="132"/>
      <c r="C30" s="132"/>
      <c r="D30" s="132"/>
      <c r="E30" s="132"/>
      <c r="F30" s="132"/>
    </row>
    <row r="31" spans="1:6" ht="21" customHeight="1" thickBot="1" x14ac:dyDescent="0.55000000000000004">
      <c r="A31" s="130" t="s">
        <v>124</v>
      </c>
      <c r="B31" s="132"/>
      <c r="E31" s="132"/>
      <c r="F31" s="132"/>
    </row>
    <row r="32" spans="1:6" ht="12.6" customHeight="1" thickTop="1" x14ac:dyDescent="0.4">
      <c r="A32" s="132"/>
      <c r="B32" s="132"/>
      <c r="C32" s="132"/>
      <c r="D32" s="132"/>
      <c r="E32" s="132"/>
      <c r="F32" s="132"/>
    </row>
    <row r="33" spans="1:6" ht="17.45" customHeight="1" x14ac:dyDescent="0.4">
      <c r="A33" s="139" t="s">
        <v>125</v>
      </c>
      <c r="B33" s="139"/>
      <c r="C33" s="139" t="s">
        <v>126</v>
      </c>
      <c r="D33" s="139"/>
      <c r="E33" s="132"/>
      <c r="F33" s="132"/>
    </row>
    <row r="34" spans="1:6" ht="17.45" customHeight="1" x14ac:dyDescent="0.4">
      <c r="A34" s="189"/>
      <c r="B34" s="190"/>
      <c r="C34" s="189"/>
      <c r="D34" s="190"/>
      <c r="E34" s="132"/>
      <c r="F34" s="132"/>
    </row>
    <row r="35" spans="1:6" ht="17.100000000000001" customHeight="1" x14ac:dyDescent="0.4">
      <c r="A35" s="190"/>
      <c r="B35" s="190"/>
      <c r="C35" s="190"/>
      <c r="D35" s="190"/>
      <c r="E35" s="132"/>
      <c r="F35" s="132"/>
    </row>
    <row r="36" spans="1:6" ht="17.100000000000001" customHeight="1" x14ac:dyDescent="0.4">
      <c r="A36" s="190"/>
      <c r="B36" s="190"/>
      <c r="C36" s="190"/>
      <c r="D36" s="190"/>
      <c r="E36" s="132"/>
      <c r="F36" s="132"/>
    </row>
    <row r="37" spans="1:6" ht="17.100000000000001" customHeight="1" x14ac:dyDescent="0.4">
      <c r="A37" s="190"/>
      <c r="B37" s="190"/>
      <c r="C37" s="190"/>
      <c r="D37" s="190"/>
      <c r="E37" s="132"/>
      <c r="F37" s="132"/>
    </row>
    <row r="38" spans="1:6" ht="17.100000000000001" customHeight="1" x14ac:dyDescent="0.4">
      <c r="A38" s="190"/>
      <c r="B38" s="190"/>
      <c r="C38" s="190"/>
      <c r="D38" s="190"/>
      <c r="E38" s="132"/>
      <c r="F38" s="132"/>
    </row>
    <row r="39" spans="1:6" ht="17.100000000000001" customHeight="1" x14ac:dyDescent="0.4">
      <c r="A39" s="190"/>
      <c r="B39" s="190"/>
      <c r="C39" s="190"/>
      <c r="D39" s="190"/>
      <c r="E39" s="132"/>
      <c r="F39" s="132"/>
    </row>
    <row r="40" spans="1:6" ht="17.100000000000001" customHeight="1" x14ac:dyDescent="0.4">
      <c r="A40" s="190"/>
      <c r="B40" s="190"/>
      <c r="C40" s="190"/>
      <c r="D40" s="190"/>
      <c r="E40" s="132"/>
      <c r="F40" s="132"/>
    </row>
    <row r="41" spans="1:6" ht="17.100000000000001" customHeight="1" x14ac:dyDescent="0.4">
      <c r="A41" s="190"/>
      <c r="B41" s="190"/>
      <c r="C41" s="190"/>
      <c r="D41" s="190"/>
      <c r="E41" s="132"/>
      <c r="F41" s="132"/>
    </row>
    <row r="42" spans="1:6" ht="12" customHeight="1" x14ac:dyDescent="0.4">
      <c r="A42" s="190"/>
      <c r="B42" s="190"/>
      <c r="C42" s="190"/>
      <c r="D42" s="190"/>
      <c r="E42" s="132"/>
      <c r="F42" s="132"/>
    </row>
    <row r="43" spans="1:6" ht="15" customHeight="1" x14ac:dyDescent="0.4">
      <c r="A43" s="190"/>
      <c r="B43" s="190"/>
      <c r="C43" s="190"/>
      <c r="D43" s="190"/>
      <c r="E43" s="82"/>
      <c r="F43" s="82"/>
    </row>
    <row r="44" spans="1:6" ht="17.100000000000001" customHeight="1" x14ac:dyDescent="0.4">
      <c r="E44" s="82"/>
      <c r="F44" s="82"/>
    </row>
    <row r="45" spans="1:6" ht="17.100000000000001" customHeight="1" x14ac:dyDescent="0.4">
      <c r="A45" s="140" t="s">
        <v>127</v>
      </c>
      <c r="B45" s="176"/>
      <c r="C45" s="141" t="s">
        <v>128</v>
      </c>
      <c r="D45" s="141"/>
      <c r="E45" s="82"/>
      <c r="F45" s="82"/>
    </row>
    <row r="46" spans="1:6" ht="17.100000000000001" customHeight="1" x14ac:dyDescent="0.4">
      <c r="A46" s="189"/>
      <c r="B46" s="190"/>
      <c r="C46" s="189"/>
      <c r="D46" s="190"/>
      <c r="E46" s="82"/>
      <c r="F46" s="82"/>
    </row>
    <row r="47" spans="1:6" ht="17.100000000000001" customHeight="1" x14ac:dyDescent="0.4">
      <c r="A47" s="190"/>
      <c r="B47" s="190"/>
      <c r="C47" s="190"/>
      <c r="D47" s="190"/>
      <c r="E47" s="82"/>
      <c r="F47" s="82"/>
    </row>
    <row r="48" spans="1:6" ht="17.100000000000001" customHeight="1" x14ac:dyDescent="0.4">
      <c r="A48" s="190"/>
      <c r="B48" s="190"/>
      <c r="C48" s="190"/>
      <c r="D48" s="190"/>
      <c r="E48" s="82"/>
      <c r="F48" s="82"/>
    </row>
    <row r="49" spans="1:6" ht="17.100000000000001" customHeight="1" x14ac:dyDescent="0.4">
      <c r="A49" s="190"/>
      <c r="B49" s="190"/>
      <c r="C49" s="190"/>
      <c r="D49" s="190"/>
      <c r="E49" s="82"/>
      <c r="F49" s="82"/>
    </row>
    <row r="50" spans="1:6" ht="17.100000000000001" customHeight="1" x14ac:dyDescent="0.4">
      <c r="A50" s="190"/>
      <c r="B50" s="190"/>
      <c r="C50" s="190"/>
      <c r="D50" s="190"/>
      <c r="E50" s="82"/>
      <c r="F50" s="82"/>
    </row>
    <row r="51" spans="1:6" ht="17.100000000000001" customHeight="1" x14ac:dyDescent="0.4">
      <c r="A51" s="190"/>
      <c r="B51" s="190"/>
      <c r="C51" s="190"/>
      <c r="D51" s="190"/>
      <c r="E51" s="82"/>
      <c r="F51" s="82"/>
    </row>
    <row r="52" spans="1:6" ht="17.100000000000001" customHeight="1" x14ac:dyDescent="0.4">
      <c r="A52" s="190"/>
      <c r="B52" s="190"/>
      <c r="C52" s="190"/>
      <c r="D52" s="190"/>
      <c r="E52" s="82"/>
      <c r="F52" s="82"/>
    </row>
    <row r="53" spans="1:6" ht="17.100000000000001" customHeight="1" x14ac:dyDescent="0.4">
      <c r="A53" s="190"/>
      <c r="B53" s="190"/>
      <c r="C53" s="190"/>
      <c r="D53" s="190"/>
      <c r="E53" s="82"/>
      <c r="F53" s="82"/>
    </row>
    <row r="54" spans="1:6" ht="17.100000000000001" customHeight="1" x14ac:dyDescent="0.4">
      <c r="A54" s="190"/>
      <c r="B54" s="190"/>
      <c r="C54" s="190"/>
      <c r="D54" s="190"/>
      <c r="E54" s="82"/>
      <c r="F54" s="82"/>
    </row>
    <row r="55" spans="1:6" ht="20.45" customHeight="1" x14ac:dyDescent="0.4">
      <c r="A55" s="190"/>
      <c r="B55" s="190"/>
      <c r="C55" s="190"/>
      <c r="D55" s="190"/>
      <c r="E55" s="82"/>
      <c r="F55" s="82"/>
    </row>
    <row r="56" spans="1:6" ht="8.1" customHeight="1" x14ac:dyDescent="0.4">
      <c r="A56" s="179"/>
      <c r="B56" s="179"/>
      <c r="C56" s="179"/>
      <c r="D56" s="179"/>
      <c r="E56" s="82"/>
      <c r="F56" s="82"/>
    </row>
    <row r="57" spans="1:6" ht="26.1" customHeight="1" x14ac:dyDescent="0.4">
      <c r="A57" s="119"/>
      <c r="B57" s="119"/>
      <c r="C57" s="119"/>
      <c r="D57" s="119"/>
      <c r="E57" s="82"/>
      <c r="F57" s="82"/>
    </row>
    <row r="58" spans="1:6" ht="20.100000000000001" customHeight="1" x14ac:dyDescent="0.4">
      <c r="A58" s="122" t="s">
        <v>23</v>
      </c>
      <c r="B58" s="123"/>
      <c r="C58" s="123"/>
      <c r="D58" s="123"/>
      <c r="E58" s="82"/>
      <c r="F58" s="82"/>
    </row>
    <row r="59" spans="1:6" ht="18.600000000000001" customHeight="1" x14ac:dyDescent="0.4">
      <c r="A59" s="142" t="s">
        <v>7</v>
      </c>
      <c r="B59" s="143">
        <f>Input!$B$6</f>
        <v>0</v>
      </c>
      <c r="C59" s="143">
        <f>Input!$C$6</f>
        <v>-1</v>
      </c>
      <c r="D59" s="146" t="s">
        <v>129</v>
      </c>
      <c r="E59" s="82"/>
      <c r="F59" s="82"/>
    </row>
    <row r="60" spans="1:6" ht="15" customHeight="1" x14ac:dyDescent="0.4">
      <c r="A60" s="144" t="s">
        <v>130</v>
      </c>
      <c r="B60" s="145"/>
      <c r="C60" s="145"/>
      <c r="D60" s="145"/>
      <c r="E60" s="82"/>
      <c r="F60" s="82"/>
    </row>
    <row r="61" spans="1:6" ht="15" customHeight="1" x14ac:dyDescent="0.4">
      <c r="A61" s="90" t="s">
        <v>131</v>
      </c>
      <c r="B61" s="170">
        <f>Input!B27</f>
        <v>0</v>
      </c>
      <c r="C61" s="170">
        <f>Input!C27</f>
        <v>0</v>
      </c>
      <c r="D61" s="91" t="str">
        <f>IFERROR((B61-C61)/C61,"")</f>
        <v/>
      </c>
      <c r="E61" s="82"/>
      <c r="F61" s="82"/>
    </row>
    <row r="62" spans="1:6" ht="15" customHeight="1" x14ac:dyDescent="0.4">
      <c r="A62" s="92" t="s">
        <v>132</v>
      </c>
      <c r="B62" s="93" t="e">
        <f>B$61/B$73</f>
        <v>#DIV/0!</v>
      </c>
      <c r="C62" s="93" t="e">
        <f>C$61/C$73</f>
        <v>#DIV/0!</v>
      </c>
      <c r="D62" s="94"/>
      <c r="E62" s="82"/>
      <c r="F62" s="82"/>
    </row>
    <row r="63" spans="1:6" ht="15" customHeight="1" x14ac:dyDescent="0.4">
      <c r="A63" s="90" t="s">
        <v>25</v>
      </c>
      <c r="B63" s="170">
        <f>Input!B28</f>
        <v>0</v>
      </c>
      <c r="C63" s="170">
        <f>Input!C28</f>
        <v>0</v>
      </c>
      <c r="D63" s="91" t="str">
        <f>IFERROR((B63-C63)/C63,"")</f>
        <v/>
      </c>
      <c r="E63" s="82"/>
      <c r="F63" s="82"/>
    </row>
    <row r="64" spans="1:6" ht="15" customHeight="1" x14ac:dyDescent="0.4">
      <c r="A64" s="92" t="s">
        <v>133</v>
      </c>
      <c r="B64" s="93" t="e">
        <f>B$63/B$73</f>
        <v>#DIV/0!</v>
      </c>
      <c r="C64" s="93" t="e">
        <f>C$63/C$73</f>
        <v>#DIV/0!</v>
      </c>
      <c r="D64" s="94"/>
      <c r="E64" s="82"/>
      <c r="F64" s="82"/>
    </row>
    <row r="65" spans="1:6" ht="15" customHeight="1" x14ac:dyDescent="0.4">
      <c r="A65" s="90" t="s">
        <v>26</v>
      </c>
      <c r="B65" s="170">
        <f>Input!B29</f>
        <v>0</v>
      </c>
      <c r="C65" s="170">
        <f>Input!C29</f>
        <v>0</v>
      </c>
      <c r="D65" s="91" t="str">
        <f>IFERROR((B65-C65)/C65,"")</f>
        <v/>
      </c>
      <c r="E65" s="82"/>
      <c r="F65" s="82"/>
    </row>
    <row r="66" spans="1:6" ht="15" customHeight="1" x14ac:dyDescent="0.4">
      <c r="A66" s="92" t="s">
        <v>134</v>
      </c>
      <c r="B66" s="93" t="e">
        <f>B$65/B$73</f>
        <v>#DIV/0!</v>
      </c>
      <c r="C66" s="93" t="e">
        <f>C$65/C$73</f>
        <v>#DIV/0!</v>
      </c>
      <c r="D66" s="94"/>
      <c r="E66" s="82"/>
      <c r="F66" s="82"/>
    </row>
    <row r="67" spans="1:6" ht="15" customHeight="1" x14ac:dyDescent="0.4">
      <c r="A67" s="90" t="s">
        <v>27</v>
      </c>
      <c r="B67" s="170">
        <f>Input!B30</f>
        <v>0</v>
      </c>
      <c r="C67" s="170">
        <f>Input!C30</f>
        <v>0</v>
      </c>
      <c r="D67" s="91" t="str">
        <f>IFERROR((B67-C67)/C67,"")</f>
        <v/>
      </c>
      <c r="E67" s="82"/>
      <c r="F67" s="82"/>
    </row>
    <row r="68" spans="1:6" ht="15" customHeight="1" x14ac:dyDescent="0.4">
      <c r="A68" s="92" t="s">
        <v>135</v>
      </c>
      <c r="B68" s="93" t="e">
        <f>B$67/B$73</f>
        <v>#DIV/0!</v>
      </c>
      <c r="C68" s="93" t="e">
        <f>C$67/C$73</f>
        <v>#DIV/0!</v>
      </c>
      <c r="D68" s="94"/>
      <c r="E68" s="82"/>
      <c r="F68" s="82"/>
    </row>
    <row r="69" spans="1:6" ht="15" customHeight="1" x14ac:dyDescent="0.4">
      <c r="A69" s="90" t="s">
        <v>28</v>
      </c>
      <c r="B69" s="170">
        <f>Input!B31</f>
        <v>0</v>
      </c>
      <c r="C69" s="170">
        <f>Input!C31</f>
        <v>0</v>
      </c>
      <c r="D69" s="91" t="str">
        <f>IFERROR((B69-C69)/C69,"")</f>
        <v/>
      </c>
      <c r="E69" s="82"/>
      <c r="F69" s="82"/>
    </row>
    <row r="70" spans="1:6" ht="15" customHeight="1" x14ac:dyDescent="0.4">
      <c r="A70" s="92" t="s">
        <v>136</v>
      </c>
      <c r="B70" s="93" t="e">
        <f>B$69/B$73</f>
        <v>#DIV/0!</v>
      </c>
      <c r="C70" s="93" t="e">
        <f>C$69/C$73</f>
        <v>#DIV/0!</v>
      </c>
      <c r="D70" s="94"/>
      <c r="E70" s="82"/>
      <c r="F70" s="82"/>
    </row>
    <row r="71" spans="1:6" ht="15" customHeight="1" x14ac:dyDescent="0.4">
      <c r="A71" s="90" t="s">
        <v>29</v>
      </c>
      <c r="B71" s="170">
        <f>Input!B32</f>
        <v>0</v>
      </c>
      <c r="C71" s="170">
        <f>Input!C32</f>
        <v>0</v>
      </c>
      <c r="D71" s="91" t="str">
        <f>IFERROR((B71-C71)/C71,"")</f>
        <v/>
      </c>
      <c r="E71" s="82"/>
      <c r="F71" s="82"/>
    </row>
    <row r="72" spans="1:6" ht="15.95" customHeight="1" thickBot="1" x14ac:dyDescent="0.45">
      <c r="A72" s="95" t="s">
        <v>137</v>
      </c>
      <c r="B72" s="96" t="e">
        <f>B$71/B$73</f>
        <v>#DIV/0!</v>
      </c>
      <c r="C72" s="96" t="e">
        <f>C$71/C$73</f>
        <v>#DIV/0!</v>
      </c>
      <c r="D72" s="97"/>
      <c r="E72" s="82"/>
      <c r="F72" s="82"/>
    </row>
    <row r="73" spans="1:6" ht="15.6" customHeight="1" thickTop="1" x14ac:dyDescent="0.4">
      <c r="A73" s="90" t="s">
        <v>30</v>
      </c>
      <c r="B73" s="171">
        <f>Input!B33</f>
        <v>0</v>
      </c>
      <c r="C73" s="171">
        <f>Input!C33</f>
        <v>0</v>
      </c>
      <c r="D73" s="91" t="str">
        <f>IFERROR((B73-C73)/C73,"")</f>
        <v/>
      </c>
      <c r="E73" s="82"/>
      <c r="F73" s="82"/>
    </row>
    <row r="74" spans="1:6" ht="11.1" customHeight="1" x14ac:dyDescent="0.4">
      <c r="A74" s="88"/>
      <c r="B74" s="89"/>
      <c r="C74" s="89"/>
      <c r="D74" s="94"/>
      <c r="E74" s="82"/>
      <c r="F74" s="82"/>
    </row>
    <row r="75" spans="1:6" ht="15" customHeight="1" x14ac:dyDescent="0.4">
      <c r="A75" s="144" t="s">
        <v>138</v>
      </c>
      <c r="B75" s="145"/>
      <c r="C75" s="145"/>
      <c r="D75" s="145"/>
      <c r="E75" s="82"/>
      <c r="F75" s="82"/>
    </row>
    <row r="76" spans="1:6" ht="15" customHeight="1" x14ac:dyDescent="0.4">
      <c r="A76" s="98" t="s">
        <v>139</v>
      </c>
      <c r="B76" s="172">
        <f>Input!B34</f>
        <v>0</v>
      </c>
      <c r="C76" s="172">
        <f>Input!C34</f>
        <v>0</v>
      </c>
      <c r="D76" s="99" t="str">
        <f>IFERROR((B76-C76)/C76,"")</f>
        <v/>
      </c>
      <c r="E76" s="82"/>
      <c r="F76" s="82"/>
    </row>
    <row r="77" spans="1:6" ht="15" customHeight="1" x14ac:dyDescent="0.4">
      <c r="A77" s="92" t="s">
        <v>140</v>
      </c>
      <c r="B77" s="93" t="e">
        <f>B$76/B$73</f>
        <v>#DIV/0!</v>
      </c>
      <c r="C77" s="93" t="e">
        <f>C$76/C$73</f>
        <v>#DIV/0!</v>
      </c>
      <c r="D77" s="94"/>
      <c r="E77" s="82"/>
      <c r="F77" s="82"/>
    </row>
    <row r="78" spans="1:6" ht="15" customHeight="1" x14ac:dyDescent="0.4">
      <c r="A78" s="90" t="s">
        <v>32</v>
      </c>
      <c r="B78" s="170">
        <f>Input!B35</f>
        <v>0</v>
      </c>
      <c r="C78" s="170">
        <f>Input!C35</f>
        <v>0</v>
      </c>
      <c r="D78" s="91" t="str">
        <f>IFERROR((B78-C78)/C78,"")</f>
        <v/>
      </c>
      <c r="E78" s="82"/>
      <c r="F78" s="82"/>
    </row>
    <row r="79" spans="1:6" ht="15" customHeight="1" x14ac:dyDescent="0.4">
      <c r="A79" s="92" t="s">
        <v>141</v>
      </c>
      <c r="B79" s="93" t="e">
        <f>B$78/B$73</f>
        <v>#DIV/0!</v>
      </c>
      <c r="C79" s="93" t="e">
        <f>C$78/C$73</f>
        <v>#DIV/0!</v>
      </c>
      <c r="D79" s="94"/>
      <c r="E79" s="82"/>
      <c r="F79" s="82"/>
    </row>
    <row r="80" spans="1:6" ht="15" customHeight="1" x14ac:dyDescent="0.4">
      <c r="A80" s="90" t="s">
        <v>142</v>
      </c>
      <c r="B80" s="170">
        <f>Input!B36</f>
        <v>0</v>
      </c>
      <c r="C80" s="170">
        <f>Input!C36</f>
        <v>0</v>
      </c>
      <c r="D80" s="91" t="str">
        <f>IFERROR((B80-C80)/C80,"")</f>
        <v/>
      </c>
      <c r="E80" s="82"/>
      <c r="F80" s="82"/>
    </row>
    <row r="81" spans="1:6" ht="15" customHeight="1" x14ac:dyDescent="0.4">
      <c r="A81" s="92" t="s">
        <v>143</v>
      </c>
      <c r="B81" s="93" t="e">
        <f>B$80/B$73</f>
        <v>#DIV/0!</v>
      </c>
      <c r="C81" s="93" t="e">
        <f>C$80/C$73</f>
        <v>#DIV/0!</v>
      </c>
      <c r="D81" s="94"/>
      <c r="E81" s="82"/>
      <c r="F81" s="82"/>
    </row>
    <row r="82" spans="1:6" ht="15" customHeight="1" x14ac:dyDescent="0.4">
      <c r="A82" s="90" t="s">
        <v>144</v>
      </c>
      <c r="B82" s="170">
        <f>Input!E37</f>
        <v>0</v>
      </c>
      <c r="C82" s="170">
        <f>Input!F37</f>
        <v>0</v>
      </c>
      <c r="D82" s="91" t="str">
        <f>IFERROR((B82-C82)/C82,"")</f>
        <v/>
      </c>
      <c r="E82" s="82"/>
      <c r="F82" s="82"/>
    </row>
    <row r="83" spans="1:6" ht="15" customHeight="1" x14ac:dyDescent="0.4">
      <c r="A83" s="100" t="s">
        <v>145</v>
      </c>
      <c r="B83" s="170">
        <f>Input!E38</f>
        <v>0</v>
      </c>
      <c r="C83" s="170">
        <f>Input!F38</f>
        <v>0</v>
      </c>
      <c r="D83" s="91" t="str">
        <f>IFERROR((B83-C83)/C83,"")</f>
        <v/>
      </c>
      <c r="E83" s="82"/>
      <c r="F83" s="82"/>
    </row>
    <row r="84" spans="1:6" ht="15" customHeight="1" x14ac:dyDescent="0.4">
      <c r="A84" s="100" t="s">
        <v>146</v>
      </c>
      <c r="B84" s="170">
        <f>Input!E39</f>
        <v>0</v>
      </c>
      <c r="C84" s="170">
        <f>Input!F39</f>
        <v>0</v>
      </c>
      <c r="D84" s="91" t="str">
        <f>IFERROR((B84-C84)/C84,"")</f>
        <v/>
      </c>
      <c r="E84" s="82"/>
      <c r="F84" s="82"/>
    </row>
    <row r="85" spans="1:6" ht="15" customHeight="1" x14ac:dyDescent="0.4">
      <c r="A85" s="92" t="s">
        <v>147</v>
      </c>
      <c r="B85" s="93" t="e">
        <f>B$82/B$73</f>
        <v>#DIV/0!</v>
      </c>
      <c r="C85" s="93" t="e">
        <f>C$82/C$73</f>
        <v>#DIV/0!</v>
      </c>
      <c r="D85" s="94"/>
      <c r="E85" s="82"/>
      <c r="F85" s="82"/>
    </row>
    <row r="86" spans="1:6" ht="15" customHeight="1" x14ac:dyDescent="0.4">
      <c r="A86" s="90" t="s">
        <v>148</v>
      </c>
      <c r="B86" s="170">
        <f>Input!B40</f>
        <v>0</v>
      </c>
      <c r="C86" s="170">
        <f>Input!C40</f>
        <v>0</v>
      </c>
      <c r="D86" s="91" t="str">
        <f>IFERROR((B86-C86)/C86,"")</f>
        <v/>
      </c>
      <c r="E86" s="82"/>
      <c r="F86" s="82"/>
    </row>
    <row r="87" spans="1:6" ht="15" customHeight="1" x14ac:dyDescent="0.4">
      <c r="A87" s="100" t="s">
        <v>149</v>
      </c>
      <c r="B87" s="170">
        <f>Input!B41</f>
        <v>0</v>
      </c>
      <c r="C87" s="170">
        <f>Input!C41</f>
        <v>0</v>
      </c>
      <c r="D87" s="91" t="str">
        <f>IFERROR((B87-C87)/C87,"")</f>
        <v/>
      </c>
      <c r="E87" s="82"/>
      <c r="F87" s="82"/>
    </row>
    <row r="88" spans="1:6" ht="15" customHeight="1" x14ac:dyDescent="0.4">
      <c r="A88" s="100" t="s">
        <v>150</v>
      </c>
      <c r="B88" s="170">
        <f>Input!B42</f>
        <v>0</v>
      </c>
      <c r="C88" s="170">
        <f>Input!C42</f>
        <v>0</v>
      </c>
      <c r="D88" s="91" t="str">
        <f>IFERROR((B88-C88)/C88,"")</f>
        <v/>
      </c>
      <c r="E88" s="82"/>
      <c r="F88" s="82"/>
    </row>
    <row r="89" spans="1:6" ht="15" customHeight="1" x14ac:dyDescent="0.4">
      <c r="A89" s="92" t="s">
        <v>151</v>
      </c>
      <c r="B89" s="93" t="e">
        <f>B$86/B$73</f>
        <v>#DIV/0!</v>
      </c>
      <c r="C89" s="93" t="e">
        <f>C$86/C$73</f>
        <v>#DIV/0!</v>
      </c>
      <c r="D89" s="89"/>
      <c r="E89" s="82"/>
      <c r="F89" s="82"/>
    </row>
    <row r="90" spans="1:6" ht="15" customHeight="1" x14ac:dyDescent="0.4">
      <c r="A90" s="100" t="s">
        <v>40</v>
      </c>
      <c r="B90" s="170">
        <f>Input!B43</f>
        <v>0</v>
      </c>
      <c r="C90" s="170">
        <f>Input!C43</f>
        <v>0</v>
      </c>
      <c r="D90" s="91" t="str">
        <f>IFERROR((B90-C90)/C90,"")</f>
        <v/>
      </c>
      <c r="E90" s="82"/>
      <c r="F90" s="82"/>
    </row>
    <row r="91" spans="1:6" ht="15" customHeight="1" x14ac:dyDescent="0.4">
      <c r="A91" s="101" t="s">
        <v>152</v>
      </c>
      <c r="B91" s="102" t="e">
        <f>B$90/B$73</f>
        <v>#DIV/0!</v>
      </c>
      <c r="C91" s="102" t="e">
        <f>C$90/C$73</f>
        <v>#DIV/0!</v>
      </c>
      <c r="D91" s="103"/>
      <c r="E91" s="82"/>
      <c r="F91" s="82"/>
    </row>
    <row r="92" spans="1:6" ht="9" customHeight="1" x14ac:dyDescent="0.4">
      <c r="A92" s="104"/>
      <c r="B92" s="84"/>
      <c r="C92" s="84"/>
      <c r="D92" s="84"/>
      <c r="E92" s="82"/>
      <c r="F92" s="82"/>
    </row>
    <row r="93" spans="1:6" ht="3" customHeight="1" x14ac:dyDescent="0.4">
      <c r="A93" s="105"/>
      <c r="B93" s="84"/>
      <c r="C93" s="84"/>
      <c r="D93" s="84"/>
      <c r="E93" s="82"/>
      <c r="F93" s="82"/>
    </row>
    <row r="94" spans="1:6" ht="6.75" customHeight="1" x14ac:dyDescent="0.4">
      <c r="A94" s="106"/>
      <c r="B94" s="107"/>
      <c r="C94" s="107"/>
      <c r="D94" s="84"/>
      <c r="E94" s="82"/>
      <c r="F94" s="82"/>
    </row>
    <row r="95" spans="1:6" ht="17.45" customHeight="1" x14ac:dyDescent="0.4">
      <c r="A95" s="124" t="s">
        <v>6</v>
      </c>
      <c r="B95" s="125"/>
      <c r="C95" s="125"/>
      <c r="D95" s="123"/>
      <c r="E95" s="82"/>
      <c r="F95" s="82"/>
    </row>
    <row r="96" spans="1:6" ht="17.100000000000001" customHeight="1" x14ac:dyDescent="0.4">
      <c r="A96" s="142" t="s">
        <v>7</v>
      </c>
      <c r="B96" s="143">
        <f>Input!$B$6</f>
        <v>0</v>
      </c>
      <c r="C96" s="143">
        <f>Input!$C$6</f>
        <v>-1</v>
      </c>
      <c r="D96" s="146" t="s">
        <v>129</v>
      </c>
      <c r="E96" s="82"/>
      <c r="F96" s="82"/>
    </row>
    <row r="97" spans="1:6" ht="10.35" customHeight="1" x14ac:dyDescent="0.4">
      <c r="A97" s="88"/>
      <c r="B97" s="89"/>
      <c r="C97" s="89"/>
      <c r="D97" s="89"/>
      <c r="E97" s="82"/>
      <c r="F97" s="82"/>
    </row>
    <row r="98" spans="1:6" ht="15" customHeight="1" x14ac:dyDescent="0.4">
      <c r="A98" s="90" t="s">
        <v>8</v>
      </c>
      <c r="B98" s="170">
        <f>Input!B7</f>
        <v>0</v>
      </c>
      <c r="C98" s="170">
        <f>Input!C7</f>
        <v>0</v>
      </c>
      <c r="D98" s="91" t="str">
        <f>IFERROR((B98-C98)/C98,"")</f>
        <v/>
      </c>
      <c r="E98" s="82"/>
      <c r="F98" s="82"/>
    </row>
    <row r="99" spans="1:6" ht="15" customHeight="1" x14ac:dyDescent="0.4">
      <c r="A99" s="100" t="s">
        <v>153</v>
      </c>
      <c r="B99" s="170">
        <f>Input!B8</f>
        <v>0</v>
      </c>
      <c r="C99" s="170">
        <f>Input!C8</f>
        <v>0</v>
      </c>
      <c r="D99" s="91" t="str">
        <f>IFERROR((B99-C99)/C99,"")</f>
        <v/>
      </c>
      <c r="E99" s="82"/>
      <c r="F99" s="82"/>
    </row>
    <row r="100" spans="1:6" ht="15" customHeight="1" x14ac:dyDescent="0.4">
      <c r="A100" s="90" t="s">
        <v>10</v>
      </c>
      <c r="B100" s="170">
        <f>Input!B9</f>
        <v>0</v>
      </c>
      <c r="C100" s="170">
        <f>Input!C9</f>
        <v>0</v>
      </c>
      <c r="D100" s="91" t="str">
        <f>IFERROR((B100-C100)/C100,"")</f>
        <v/>
      </c>
      <c r="E100" s="82"/>
      <c r="F100" s="82"/>
    </row>
    <row r="101" spans="1:6" ht="15" customHeight="1" x14ac:dyDescent="0.4">
      <c r="A101" s="100" t="s">
        <v>154</v>
      </c>
      <c r="B101" s="170">
        <f>Input!B10</f>
        <v>0</v>
      </c>
      <c r="C101" s="170">
        <f>Input!C10</f>
        <v>0</v>
      </c>
      <c r="D101" s="91" t="str">
        <f>IFERROR((B101-C101)/C101,"")</f>
        <v/>
      </c>
      <c r="E101" s="82"/>
      <c r="F101" s="82"/>
    </row>
    <row r="102" spans="1:6" ht="15" customHeight="1" x14ac:dyDescent="0.4">
      <c r="A102" s="92" t="s">
        <v>155</v>
      </c>
      <c r="B102" s="108" t="e">
        <f>B$101/B$100</f>
        <v>#DIV/0!</v>
      </c>
      <c r="C102" s="108" t="e">
        <f>C$101/C$100</f>
        <v>#DIV/0!</v>
      </c>
      <c r="D102" s="109"/>
      <c r="E102" s="82"/>
      <c r="F102" s="82"/>
    </row>
    <row r="103" spans="1:6" ht="15" customHeight="1" x14ac:dyDescent="0.4">
      <c r="A103" s="100" t="s">
        <v>156</v>
      </c>
      <c r="B103" s="170">
        <f>Input!B11</f>
        <v>0</v>
      </c>
      <c r="C103" s="170">
        <f>Input!C11</f>
        <v>0</v>
      </c>
      <c r="D103" s="91" t="str">
        <f>IFERROR((B103-C103)/C103,"")</f>
        <v/>
      </c>
      <c r="E103" s="82"/>
      <c r="F103" s="82"/>
    </row>
    <row r="104" spans="1:6" ht="15" customHeight="1" x14ac:dyDescent="0.4">
      <c r="A104" s="92" t="s">
        <v>157</v>
      </c>
      <c r="B104" s="108" t="e">
        <f>B103/B100</f>
        <v>#DIV/0!</v>
      </c>
      <c r="C104" s="108" t="e">
        <f>C103/C100</f>
        <v>#DIV/0!</v>
      </c>
      <c r="D104" s="109"/>
      <c r="E104" s="82"/>
      <c r="F104" s="82"/>
    </row>
    <row r="105" spans="1:6" ht="15" customHeight="1" x14ac:dyDescent="0.4">
      <c r="A105" s="100" t="s">
        <v>158</v>
      </c>
      <c r="B105" s="170">
        <f>Input!B12</f>
        <v>0</v>
      </c>
      <c r="C105" s="170">
        <f>Input!C12</f>
        <v>0</v>
      </c>
      <c r="D105" s="91" t="str">
        <f>IFERROR((B105-C105)/C105,"")</f>
        <v/>
      </c>
      <c r="E105" s="82"/>
      <c r="F105" s="82"/>
    </row>
    <row r="106" spans="1:6" ht="15" customHeight="1" x14ac:dyDescent="0.4">
      <c r="A106" s="92" t="s">
        <v>157</v>
      </c>
      <c r="B106" s="108" t="e">
        <f>B$105/B$100</f>
        <v>#DIV/0!</v>
      </c>
      <c r="C106" s="108" t="e">
        <f>C$105/C$100</f>
        <v>#DIV/0!</v>
      </c>
      <c r="D106" s="109"/>
      <c r="E106" s="82"/>
      <c r="F106" s="82"/>
    </row>
    <row r="107" spans="1:6" ht="15" customHeight="1" x14ac:dyDescent="0.4">
      <c r="A107" s="100" t="s">
        <v>159</v>
      </c>
      <c r="B107" s="170">
        <f>Input!B13</f>
        <v>0</v>
      </c>
      <c r="C107" s="170">
        <f>Input!C13</f>
        <v>0</v>
      </c>
      <c r="D107" s="91" t="str">
        <f>IFERROR((B107-C107)/C107,"")</f>
        <v/>
      </c>
      <c r="E107" s="82"/>
      <c r="F107" s="82"/>
    </row>
    <row r="108" spans="1:6" ht="15" customHeight="1" x14ac:dyDescent="0.4">
      <c r="A108" s="92" t="s">
        <v>160</v>
      </c>
      <c r="B108" s="108" t="e">
        <f>B107/B100</f>
        <v>#DIV/0!</v>
      </c>
      <c r="C108" s="108" t="e">
        <f>C107/C100</f>
        <v>#DIV/0!</v>
      </c>
      <c r="D108" s="109"/>
      <c r="E108" s="82"/>
      <c r="F108" s="82"/>
    </row>
    <row r="109" spans="1:6" ht="15" customHeight="1" x14ac:dyDescent="0.4">
      <c r="A109" s="100" t="s">
        <v>161</v>
      </c>
      <c r="B109" s="170">
        <f>Input!B14</f>
        <v>0</v>
      </c>
      <c r="C109" s="170">
        <f>Input!C14</f>
        <v>0</v>
      </c>
      <c r="D109" s="91" t="str">
        <f>IFERROR((B109-C109)/C109,"")</f>
        <v/>
      </c>
      <c r="E109" s="82"/>
      <c r="F109" s="82"/>
    </row>
    <row r="110" spans="1:6" ht="15" customHeight="1" x14ac:dyDescent="0.4">
      <c r="A110" s="92" t="s">
        <v>162</v>
      </c>
      <c r="B110" s="108" t="e">
        <f>B$109/B$100</f>
        <v>#DIV/0!</v>
      </c>
      <c r="C110" s="108" t="e">
        <f>C$109/C$100</f>
        <v>#DIV/0!</v>
      </c>
      <c r="D110" s="109"/>
      <c r="E110" s="82"/>
      <c r="F110" s="82"/>
    </row>
    <row r="111" spans="1:6" ht="15" customHeight="1" x14ac:dyDescent="0.4">
      <c r="A111" s="100" t="s">
        <v>163</v>
      </c>
      <c r="B111" s="170">
        <f>Input!B15</f>
        <v>0</v>
      </c>
      <c r="C111" s="170">
        <f>Input!C15</f>
        <v>0</v>
      </c>
      <c r="D111" s="91" t="str">
        <f>IFERROR((B111-C111)/C111,"")</f>
        <v/>
      </c>
      <c r="E111" s="82"/>
      <c r="F111" s="82"/>
    </row>
    <row r="112" spans="1:6" ht="15" customHeight="1" x14ac:dyDescent="0.4">
      <c r="A112" s="92" t="s">
        <v>164</v>
      </c>
      <c r="B112" s="108" t="e">
        <f>$B$111/$B$100</f>
        <v>#DIV/0!</v>
      </c>
      <c r="C112" s="108" t="e">
        <f>$B$111/$B$100</f>
        <v>#DIV/0!</v>
      </c>
      <c r="D112" s="109"/>
      <c r="E112" s="82"/>
      <c r="F112" s="82"/>
    </row>
    <row r="113" spans="1:6" ht="15" customHeight="1" x14ac:dyDescent="0.4">
      <c r="A113" s="100" t="s">
        <v>165</v>
      </c>
      <c r="B113" s="170">
        <f>Input!B16</f>
        <v>0</v>
      </c>
      <c r="C113" s="170">
        <f>Input!C16</f>
        <v>0</v>
      </c>
      <c r="D113" s="91" t="str">
        <f>IFERROR((B113-C113)/C113,"")</f>
        <v/>
      </c>
      <c r="E113" s="82"/>
      <c r="F113" s="82"/>
    </row>
    <row r="114" spans="1:6" ht="15.95" customHeight="1" thickBot="1" x14ac:dyDescent="0.45">
      <c r="A114" s="95" t="s">
        <v>166</v>
      </c>
      <c r="B114" s="110" t="e">
        <f>B$113/B$100</f>
        <v>#DIV/0!</v>
      </c>
      <c r="C114" s="110" t="e">
        <f>C$113/C$100</f>
        <v>#DIV/0!</v>
      </c>
      <c r="D114" s="111"/>
      <c r="E114" s="82"/>
      <c r="F114" s="82"/>
    </row>
    <row r="115" spans="1:6" ht="18" customHeight="1" thickTop="1" x14ac:dyDescent="0.4">
      <c r="A115" s="90" t="s">
        <v>18</v>
      </c>
      <c r="B115" s="171">
        <f>Input!B17</f>
        <v>0</v>
      </c>
      <c r="C115" s="171">
        <f>Input!C17</f>
        <v>0</v>
      </c>
      <c r="D115" s="91" t="str">
        <f>IFERROR((B115-C115)/C115,"")</f>
        <v/>
      </c>
      <c r="E115" s="82"/>
      <c r="F115" s="82"/>
    </row>
    <row r="116" spans="1:6" ht="15" customHeight="1" x14ac:dyDescent="0.4">
      <c r="A116" s="92" t="s">
        <v>167</v>
      </c>
      <c r="B116" s="108" t="e">
        <f>B$115/B$98</f>
        <v>#DIV/0!</v>
      </c>
      <c r="C116" s="108" t="e">
        <f>C$115/C$98</f>
        <v>#DIV/0!</v>
      </c>
      <c r="D116" s="89"/>
      <c r="E116" s="82"/>
      <c r="F116" s="82"/>
    </row>
    <row r="117" spans="1:6" ht="15" customHeight="1" x14ac:dyDescent="0.4">
      <c r="A117" s="90" t="s">
        <v>19</v>
      </c>
      <c r="B117" s="170">
        <f>Input!B18</f>
        <v>0</v>
      </c>
      <c r="C117" s="170">
        <f>Input!C18</f>
        <v>0</v>
      </c>
      <c r="D117" s="91" t="str">
        <f>IFERROR((B117-C117)/C117,"")</f>
        <v/>
      </c>
      <c r="E117" s="82"/>
      <c r="F117" s="82"/>
    </row>
    <row r="118" spans="1:6" ht="15.95" customHeight="1" thickBot="1" x14ac:dyDescent="0.45">
      <c r="A118" s="90" t="s">
        <v>20</v>
      </c>
      <c r="B118" s="174">
        <f>Input!B19</f>
        <v>0</v>
      </c>
      <c r="C118" s="174">
        <f>Input!C19</f>
        <v>0</v>
      </c>
      <c r="D118" s="112" t="str">
        <f>IFERROR((B118-C118)/C118,"")</f>
        <v/>
      </c>
      <c r="E118" s="82"/>
      <c r="F118" s="82"/>
    </row>
    <row r="119" spans="1:6" ht="15.95" customHeight="1" thickTop="1" x14ac:dyDescent="0.4">
      <c r="A119" s="113" t="s">
        <v>21</v>
      </c>
      <c r="B119" s="173">
        <f>Input!B20</f>
        <v>0</v>
      </c>
      <c r="C119" s="173">
        <f>Input!C20</f>
        <v>0</v>
      </c>
      <c r="D119" s="114" t="str">
        <f>IFERROR((B119-C119)/C119,"")</f>
        <v/>
      </c>
      <c r="E119" s="82"/>
      <c r="F119" s="82"/>
    </row>
    <row r="120" spans="1:6" ht="13.35" customHeight="1" x14ac:dyDescent="0.4">
      <c r="A120" s="167" t="s">
        <v>22</v>
      </c>
      <c r="B120" s="168">
        <f>Input!B21</f>
        <v>0</v>
      </c>
      <c r="C120" s="168">
        <f>Input!C21</f>
        <v>0</v>
      </c>
      <c r="D120" s="169" t="str">
        <f>IFERROR((B120-C120)/C120,"")</f>
        <v/>
      </c>
      <c r="E120" s="82"/>
      <c r="F120" s="82"/>
    </row>
    <row r="121" spans="1:6" ht="9" customHeight="1" x14ac:dyDescent="0.4">
      <c r="A121" s="82"/>
      <c r="B121" s="82"/>
      <c r="C121" s="82"/>
      <c r="D121" s="82"/>
      <c r="E121" s="82"/>
      <c r="F121" s="82"/>
    </row>
    <row r="122" spans="1:6" ht="8.25" customHeight="1" thickBot="1" x14ac:dyDescent="0.45">
      <c r="A122" s="82"/>
      <c r="B122" s="82"/>
      <c r="C122" s="82"/>
      <c r="D122" s="82"/>
      <c r="E122" s="82"/>
      <c r="F122" s="82"/>
    </row>
    <row r="123" spans="1:6" ht="15" customHeight="1" x14ac:dyDescent="0.4">
      <c r="A123" s="157" t="s">
        <v>168</v>
      </c>
      <c r="B123" s="126">
        <f>$B$96</f>
        <v>0</v>
      </c>
      <c r="C123" s="151">
        <f>$C$96</f>
        <v>-1</v>
      </c>
      <c r="D123" s="126"/>
      <c r="E123" s="82"/>
      <c r="F123" s="82"/>
    </row>
    <row r="124" spans="1:6" ht="11.45" customHeight="1" x14ac:dyDescent="0.4">
      <c r="A124" s="89"/>
      <c r="B124" s="89"/>
      <c r="C124" s="115"/>
      <c r="D124" s="89"/>
      <c r="E124" s="82"/>
      <c r="F124" s="82"/>
    </row>
    <row r="125" spans="1:6" ht="15" customHeight="1" x14ac:dyDescent="0.4">
      <c r="A125" s="158" t="s">
        <v>49</v>
      </c>
      <c r="B125" s="161"/>
      <c r="C125" s="147"/>
      <c r="D125" s="163"/>
      <c r="E125" s="82"/>
      <c r="F125" s="82"/>
    </row>
    <row r="126" spans="1:6" ht="15" customHeight="1" x14ac:dyDescent="0.4">
      <c r="A126" s="159" t="s">
        <v>54</v>
      </c>
      <c r="B126" s="116" t="e">
        <f>(B65+B69+B71)/(B83+B87)</f>
        <v>#DIV/0!</v>
      </c>
      <c r="C126" s="152" t="e">
        <f>(C65+C69+C71)/(C83+C87)</f>
        <v>#DIV/0!</v>
      </c>
      <c r="D126" s="164" t="e">
        <f>+B126-C126</f>
        <v>#DIV/0!</v>
      </c>
      <c r="E126" s="82"/>
      <c r="F126" s="82"/>
    </row>
    <row r="127" spans="1:6" ht="15" customHeight="1" x14ac:dyDescent="0.4">
      <c r="A127" s="159" t="s">
        <v>56</v>
      </c>
      <c r="B127" s="116" t="e">
        <f>(B63+B65+B69+B71)/(B83+B87)</f>
        <v>#DIV/0!</v>
      </c>
      <c r="C127" s="152" t="e">
        <f>(C63+C65+C69+C71)/(C83+C87)</f>
        <v>#DIV/0!</v>
      </c>
      <c r="D127" s="164" t="e">
        <f>+B127-C127</f>
        <v>#DIV/0!</v>
      </c>
      <c r="E127" s="82"/>
      <c r="F127" s="82"/>
    </row>
    <row r="128" spans="1:6" ht="15" customHeight="1" x14ac:dyDescent="0.4">
      <c r="A128" s="158" t="s">
        <v>169</v>
      </c>
      <c r="B128" s="162"/>
      <c r="C128" s="148"/>
      <c r="D128" s="163"/>
      <c r="E128" s="82"/>
      <c r="F128" s="82"/>
    </row>
    <row r="129" spans="1:6" ht="15" customHeight="1" x14ac:dyDescent="0.4">
      <c r="A129" s="159" t="s">
        <v>58</v>
      </c>
      <c r="B129" s="116" t="e">
        <f>IF(B86=0,B82/B76,B86/B76)</f>
        <v>#DIV/0!</v>
      </c>
      <c r="C129" s="152" t="e">
        <f>IF(C86=0,C82/C76,C86/C76)</f>
        <v>#DIV/0!</v>
      </c>
      <c r="D129" s="164" t="e">
        <f>+B129-C129</f>
        <v>#DIV/0!</v>
      </c>
      <c r="E129" s="82"/>
      <c r="F129" s="82"/>
    </row>
    <row r="130" spans="1:6" ht="15" customHeight="1" x14ac:dyDescent="0.4">
      <c r="A130" s="159" t="s">
        <v>170</v>
      </c>
      <c r="B130" s="118" t="str">
        <f>IF(B86=0,"Non Calcolabile",B69+B67-B86)</f>
        <v>Non Calcolabile</v>
      </c>
      <c r="C130" s="154" t="str">
        <f>IF(C86=0,"Non Calcolabile",C69+C67-C86)</f>
        <v>Non Calcolabile</v>
      </c>
      <c r="D130" s="164" t="e">
        <f>+B130-C130</f>
        <v>#VALUE!</v>
      </c>
      <c r="E130" s="82"/>
      <c r="F130" s="82"/>
    </row>
    <row r="131" spans="1:6" ht="15" customHeight="1" x14ac:dyDescent="0.4">
      <c r="A131" s="159" t="s">
        <v>60</v>
      </c>
      <c r="B131" s="116" t="str">
        <f>IF(B130="Non Calcolabile","Non Calcolabile",B130/B136)</f>
        <v>Non Calcolabile</v>
      </c>
      <c r="C131" s="152" t="str">
        <f>IF(C130="Non Calcolabile","Non Calcolabile",C130/C136)</f>
        <v>Non Calcolabile</v>
      </c>
      <c r="D131" s="89"/>
      <c r="E131" s="82"/>
      <c r="F131" s="82"/>
    </row>
    <row r="132" spans="1:6" ht="15" customHeight="1" x14ac:dyDescent="0.4">
      <c r="A132" s="158" t="s">
        <v>63</v>
      </c>
      <c r="B132" s="162"/>
      <c r="C132" s="148"/>
      <c r="D132" s="163"/>
      <c r="E132" s="82"/>
      <c r="F132" s="82"/>
    </row>
    <row r="133" spans="1:6" ht="15" customHeight="1" x14ac:dyDescent="0.4">
      <c r="A133" s="159" t="s">
        <v>64</v>
      </c>
      <c r="B133" s="117" t="e">
        <f>B115/B99</f>
        <v>#DIV/0!</v>
      </c>
      <c r="C133" s="153" t="e">
        <f>C115/C99</f>
        <v>#DIV/0!</v>
      </c>
      <c r="D133" s="164" t="e">
        <f>+B133-C133</f>
        <v>#DIV/0!</v>
      </c>
      <c r="E133" s="82"/>
      <c r="F133" s="82"/>
    </row>
    <row r="134" spans="1:6" ht="15" customHeight="1" x14ac:dyDescent="0.4">
      <c r="A134" s="159" t="s">
        <v>65</v>
      </c>
      <c r="B134" s="117" t="e">
        <f>B119/B76</f>
        <v>#DIV/0!</v>
      </c>
      <c r="C134" s="153" t="e">
        <f>C119/C76</f>
        <v>#DIV/0!</v>
      </c>
      <c r="D134" s="164" t="e">
        <f>+B134-C134</f>
        <v>#DIV/0!</v>
      </c>
      <c r="E134" s="82"/>
      <c r="F134" s="82"/>
    </row>
    <row r="135" spans="1:6" ht="15" customHeight="1" x14ac:dyDescent="0.4">
      <c r="A135" s="159" t="s">
        <v>66</v>
      </c>
      <c r="B135" s="117" t="e">
        <f>B115/B73</f>
        <v>#DIV/0!</v>
      </c>
      <c r="C135" s="153" t="e">
        <f>C115/C73</f>
        <v>#DIV/0!</v>
      </c>
      <c r="D135" s="164" t="e">
        <f>+B135-C135</f>
        <v>#DIV/0!</v>
      </c>
      <c r="E135" s="82"/>
      <c r="F135" s="82"/>
    </row>
    <row r="136" spans="1:6" ht="15" customHeight="1" x14ac:dyDescent="0.4">
      <c r="A136" s="159" t="s">
        <v>119</v>
      </c>
      <c r="B136" s="118">
        <f>B115+B109</f>
        <v>0</v>
      </c>
      <c r="C136" s="154">
        <f>C115+C109</f>
        <v>0</v>
      </c>
      <c r="D136" s="164">
        <f>+B136-C136</f>
        <v>0</v>
      </c>
      <c r="E136" s="82"/>
      <c r="F136" s="82"/>
    </row>
    <row r="137" spans="1:6" ht="15" customHeight="1" x14ac:dyDescent="0.4">
      <c r="A137" s="158" t="s">
        <v>70</v>
      </c>
      <c r="B137" s="162"/>
      <c r="C137" s="148"/>
      <c r="D137" s="163"/>
      <c r="E137" s="82"/>
      <c r="F137" s="82"/>
    </row>
    <row r="138" spans="1:6" ht="15" customHeight="1" x14ac:dyDescent="0.4">
      <c r="A138" s="159" t="s">
        <v>71</v>
      </c>
      <c r="B138" s="116" t="e">
        <f>B99/B73</f>
        <v>#DIV/0!</v>
      </c>
      <c r="C138" s="152" t="e">
        <f>C99/C73</f>
        <v>#DIV/0!</v>
      </c>
      <c r="D138" s="164" t="e">
        <f>+B138-C138</f>
        <v>#DIV/0!</v>
      </c>
      <c r="E138" s="82"/>
      <c r="F138" s="82"/>
    </row>
    <row r="139" spans="1:6" ht="15" customHeight="1" x14ac:dyDescent="0.4">
      <c r="A139" s="159" t="s">
        <v>171</v>
      </c>
      <c r="B139" s="149" t="e">
        <f>IF(Input!B45="n.d.","Non Calcolabile",Input!B45/Report!B98*365)</f>
        <v>#DIV/0!</v>
      </c>
      <c r="C139" s="155" t="e">
        <f>IF(Input!C45="n.d.","Non Calcolabile",Input!C45/Report!C98*365)</f>
        <v>#DIV/0!</v>
      </c>
      <c r="D139" s="164" t="e">
        <f>+B139-C139</f>
        <v>#DIV/0!</v>
      </c>
      <c r="E139" s="82"/>
      <c r="F139" s="82"/>
    </row>
    <row r="140" spans="1:6" ht="15" customHeight="1" x14ac:dyDescent="0.4">
      <c r="A140" s="159" t="s">
        <v>172</v>
      </c>
      <c r="B140" s="149" t="e">
        <f>IF(Input!B44="n.d.","Non Calcolabile",Input!B44/Report!B100*365)</f>
        <v>#DIV/0!</v>
      </c>
      <c r="C140" s="155" t="e">
        <f>IF(Input!C44="n.d.","Non Calcolabile",Input!C44/Report!C100*365)</f>
        <v>#DIV/0!</v>
      </c>
      <c r="D140" s="164" t="e">
        <f>+B140-C140</f>
        <v>#DIV/0!</v>
      </c>
      <c r="E140" s="82"/>
      <c r="F140" s="82"/>
    </row>
    <row r="141" spans="1:6" ht="16.350000000000001" customHeight="1" x14ac:dyDescent="0.4">
      <c r="A141" s="159" t="s">
        <v>173</v>
      </c>
      <c r="B141" s="149" t="e">
        <f>B63/B100*365</f>
        <v>#DIV/0!</v>
      </c>
      <c r="C141" s="155" t="e">
        <f>C63/C100*365</f>
        <v>#DIV/0!</v>
      </c>
      <c r="D141" s="164" t="e">
        <f>+B141-C141</f>
        <v>#DIV/0!</v>
      </c>
      <c r="E141" s="82"/>
      <c r="F141" s="82"/>
    </row>
    <row r="142" spans="1:6" ht="15.95" customHeight="1" thickBot="1" x14ac:dyDescent="0.45">
      <c r="A142" s="160" t="s">
        <v>174</v>
      </c>
      <c r="B142" s="150" t="e">
        <f>IF(OR(B139="Non Calcolabile",B140="Non Calcolabile"),"Non Calcolabile",B139+B141-B140)</f>
        <v>#DIV/0!</v>
      </c>
      <c r="C142" s="156" t="e">
        <f>IF(OR(C139="Non Calcolabile",C140="Non Calcolabile"),"Non Calcolabile",C139+C141-C140)</f>
        <v>#DIV/0!</v>
      </c>
      <c r="D142" s="165" t="e">
        <f>+B142-C142</f>
        <v>#DIV/0!</v>
      </c>
      <c r="E142" s="82"/>
      <c r="F142" s="82"/>
    </row>
    <row r="143" spans="1:6" ht="15" customHeight="1" x14ac:dyDescent="0.4">
      <c r="E143" s="82"/>
      <c r="F143" s="82"/>
    </row>
    <row r="144" spans="1:6" ht="15" customHeight="1" x14ac:dyDescent="0.4">
      <c r="E144" s="82"/>
      <c r="F144" s="82"/>
    </row>
    <row r="145" spans="5:6" ht="15" customHeight="1" x14ac:dyDescent="0.4">
      <c r="E145" s="82"/>
      <c r="F145" s="82"/>
    </row>
    <row r="146" spans="5:6" ht="15" customHeight="1" x14ac:dyDescent="0.4">
      <c r="E146" s="82"/>
      <c r="F146" s="82"/>
    </row>
    <row r="147" spans="5:6" ht="15" customHeight="1" x14ac:dyDescent="0.4">
      <c r="E147" s="82"/>
      <c r="F147" s="82"/>
    </row>
    <row r="148" spans="5:6" ht="15" customHeight="1" x14ac:dyDescent="0.4">
      <c r="E148" s="82"/>
      <c r="F148" s="82"/>
    </row>
    <row r="149" spans="5:6" ht="15" customHeight="1" x14ac:dyDescent="0.4">
      <c r="E149" s="82"/>
      <c r="F149" s="82"/>
    </row>
    <row r="150" spans="5:6" ht="15" customHeight="1" x14ac:dyDescent="0.4">
      <c r="E150" s="82"/>
      <c r="F150" s="82"/>
    </row>
    <row r="151" spans="5:6" ht="15" customHeight="1" x14ac:dyDescent="0.4">
      <c r="E151" s="82"/>
      <c r="F151" s="82"/>
    </row>
    <row r="152" spans="5:6" ht="15" customHeight="1" x14ac:dyDescent="0.4">
      <c r="E152" s="82"/>
      <c r="F152" s="82"/>
    </row>
    <row r="153" spans="5:6" ht="15" customHeight="1" x14ac:dyDescent="0.4">
      <c r="E153" s="82"/>
      <c r="F153" s="82"/>
    </row>
    <row r="154" spans="5:6" ht="15" customHeight="1" x14ac:dyDescent="0.4">
      <c r="E154" s="82"/>
      <c r="F154" s="82"/>
    </row>
    <row r="155" spans="5:6" ht="15" customHeight="1" x14ac:dyDescent="0.4">
      <c r="E155" s="82"/>
      <c r="F155" s="82"/>
    </row>
    <row r="156" spans="5:6" ht="15" customHeight="1" x14ac:dyDescent="0.4">
      <c r="E156" s="82"/>
      <c r="F156" s="82"/>
    </row>
    <row r="157" spans="5:6" ht="15" customHeight="1" x14ac:dyDescent="0.4">
      <c r="E157" s="82"/>
      <c r="F157" s="82"/>
    </row>
    <row r="158" spans="5:6" ht="15" customHeight="1" x14ac:dyDescent="0.4">
      <c r="E158" s="82"/>
      <c r="F158" s="82"/>
    </row>
    <row r="159" spans="5:6" ht="15" customHeight="1" x14ac:dyDescent="0.4">
      <c r="E159" s="82"/>
      <c r="F159" s="82"/>
    </row>
    <row r="160" spans="5:6" ht="15" customHeight="1" x14ac:dyDescent="0.4">
      <c r="E160" s="82"/>
      <c r="F160" s="82"/>
    </row>
    <row r="161" spans="1:6" ht="15" customHeight="1" x14ac:dyDescent="0.4">
      <c r="E161" s="82"/>
      <c r="F161" s="82"/>
    </row>
    <row r="162" spans="1:6" ht="15" customHeight="1" x14ac:dyDescent="0.4">
      <c r="A162" s="82"/>
      <c r="B162" s="82"/>
      <c r="C162" s="82"/>
      <c r="D162" s="82"/>
      <c r="E162" s="82"/>
      <c r="F162" s="82"/>
    </row>
    <row r="163" spans="1:6" ht="15" customHeight="1" x14ac:dyDescent="0.4">
      <c r="A163" s="82"/>
      <c r="B163" s="82"/>
      <c r="C163" s="82"/>
      <c r="D163" s="82"/>
      <c r="E163" s="82"/>
      <c r="F163" s="82"/>
    </row>
    <row r="164" spans="1:6" ht="15" customHeight="1" x14ac:dyDescent="0.4">
      <c r="A164" s="82"/>
      <c r="B164" s="82"/>
      <c r="C164" s="82"/>
      <c r="D164" s="82"/>
      <c r="E164" s="82"/>
      <c r="F164" s="82"/>
    </row>
    <row r="165" spans="1:6" ht="15" customHeight="1" x14ac:dyDescent="0.4">
      <c r="A165" s="82"/>
      <c r="B165" s="82"/>
      <c r="C165" s="82"/>
      <c r="D165" s="82"/>
      <c r="E165" s="82"/>
      <c r="F165" s="82"/>
    </row>
    <row r="166" spans="1:6" ht="15" customHeight="1" x14ac:dyDescent="0.4">
      <c r="A166" s="82"/>
      <c r="B166" s="82"/>
      <c r="C166" s="82"/>
      <c r="D166" s="82"/>
      <c r="E166" s="82"/>
      <c r="F166" s="82"/>
    </row>
    <row r="167" spans="1:6" ht="15" customHeight="1" x14ac:dyDescent="0.4">
      <c r="A167" s="82"/>
      <c r="B167" s="82"/>
      <c r="C167" s="82"/>
      <c r="D167" s="82"/>
      <c r="E167" s="82"/>
      <c r="F167" s="82"/>
    </row>
    <row r="168" spans="1:6" ht="15" customHeight="1" x14ac:dyDescent="0.4">
      <c r="A168" s="82"/>
      <c r="B168" s="82"/>
      <c r="C168" s="82"/>
      <c r="D168" s="82"/>
      <c r="E168" s="82"/>
      <c r="F168" s="82"/>
    </row>
    <row r="169" spans="1:6" ht="15" customHeight="1" x14ac:dyDescent="0.4">
      <c r="A169" s="82"/>
      <c r="B169" s="82"/>
      <c r="C169" s="82"/>
      <c r="D169" s="82"/>
      <c r="E169" s="82"/>
      <c r="F169" s="82"/>
    </row>
    <row r="170" spans="1:6" ht="15" customHeight="1" x14ac:dyDescent="0.4">
      <c r="A170" s="82"/>
      <c r="B170" s="82"/>
      <c r="C170" s="82"/>
      <c r="D170" s="82"/>
      <c r="E170" s="82"/>
      <c r="F170" s="82"/>
    </row>
    <row r="171" spans="1:6" ht="15" customHeight="1" x14ac:dyDescent="0.4">
      <c r="A171" s="82"/>
      <c r="B171" s="82"/>
      <c r="C171" s="82"/>
      <c r="D171" s="82"/>
      <c r="E171" s="82"/>
      <c r="F171" s="82"/>
    </row>
    <row r="172" spans="1:6" ht="15" customHeight="1" x14ac:dyDescent="0.4">
      <c r="A172" s="82"/>
      <c r="B172" s="82"/>
      <c r="C172" s="82"/>
      <c r="D172" s="82"/>
      <c r="E172" s="82"/>
      <c r="F172" s="82"/>
    </row>
    <row r="173" spans="1:6" ht="15" customHeight="1" x14ac:dyDescent="0.4">
      <c r="A173" s="82"/>
      <c r="B173" s="82"/>
      <c r="C173" s="82"/>
      <c r="D173" s="82"/>
      <c r="E173" s="82"/>
      <c r="F173" s="82"/>
    </row>
    <row r="174" spans="1:6" ht="15" customHeight="1" x14ac:dyDescent="0.4">
      <c r="A174" s="82"/>
      <c r="B174" s="82"/>
      <c r="C174" s="82"/>
      <c r="D174" s="82"/>
      <c r="E174" s="82"/>
      <c r="F174" s="82"/>
    </row>
    <row r="175" spans="1:6" ht="15" customHeight="1" x14ac:dyDescent="0.4">
      <c r="A175" s="82"/>
      <c r="B175" s="82"/>
      <c r="C175" s="82"/>
      <c r="D175" s="82"/>
      <c r="E175" s="82"/>
      <c r="F175" s="82"/>
    </row>
    <row r="176" spans="1:6" ht="15" customHeight="1" x14ac:dyDescent="0.4">
      <c r="A176" s="82"/>
      <c r="B176" s="82"/>
      <c r="C176" s="82"/>
      <c r="D176" s="82"/>
      <c r="E176" s="82"/>
      <c r="F176" s="82"/>
    </row>
    <row r="177" spans="1:6" ht="15" customHeight="1" x14ac:dyDescent="0.4">
      <c r="A177" s="82"/>
      <c r="B177" s="82"/>
      <c r="C177" s="82"/>
      <c r="D177" s="82"/>
      <c r="E177" s="82"/>
      <c r="F177" s="82"/>
    </row>
    <row r="178" spans="1:6" ht="15" customHeight="1" x14ac:dyDescent="0.4">
      <c r="A178" s="82"/>
      <c r="B178" s="82"/>
      <c r="C178" s="82"/>
      <c r="D178" s="82"/>
      <c r="E178" s="82"/>
      <c r="F178" s="82"/>
    </row>
    <row r="179" spans="1:6" ht="15" customHeight="1" x14ac:dyDescent="0.4">
      <c r="A179" s="82"/>
      <c r="B179" s="82"/>
      <c r="C179" s="82"/>
      <c r="D179" s="82"/>
      <c r="E179" s="82"/>
      <c r="F179" s="82"/>
    </row>
    <row r="180" spans="1:6" ht="15" customHeight="1" x14ac:dyDescent="0.4">
      <c r="A180" s="82"/>
      <c r="B180" s="82"/>
      <c r="C180" s="82"/>
      <c r="D180" s="82"/>
      <c r="E180" s="82"/>
      <c r="F180" s="82"/>
    </row>
    <row r="183" spans="1:6" ht="8.1" customHeight="1" x14ac:dyDescent="0.2"/>
    <row r="184" spans="1:6" ht="6" customHeight="1" x14ac:dyDescent="0.2"/>
    <row r="185" spans="1:6" ht="29.1" customHeight="1" x14ac:dyDescent="0.2">
      <c r="A185" s="182"/>
      <c r="B185" s="182"/>
      <c r="C185" s="182"/>
      <c r="D185" s="182"/>
    </row>
  </sheetData>
  <mergeCells count="4">
    <mergeCell ref="A46:B55"/>
    <mergeCell ref="C34:D43"/>
    <mergeCell ref="C46:D55"/>
    <mergeCell ref="A34:B43"/>
  </mergeCells>
  <conditionalFormatting sqref="A10:A11">
    <cfRule type="containsText" dxfId="26" priority="29" operator="containsText" text="VERO">
      <formula>NOT(ISERROR(SEARCH("VERO",A10)))</formula>
    </cfRule>
    <cfRule type="containsText" dxfId="25" priority="30" operator="containsText" text="FALSO">
      <formula>NOT(ISERROR(SEARCH("FALSO",A10)))</formula>
    </cfRule>
  </conditionalFormatting>
  <conditionalFormatting sqref="A11">
    <cfRule type="cellIs" dxfId="24" priority="26" operator="equal">
      <formula>"nnnnnnn"</formula>
    </cfRule>
    <cfRule type="cellIs" dxfId="23" priority="25" operator="equal">
      <formula>"nnnnnnnnnn"</formula>
    </cfRule>
    <cfRule type="cellIs" dxfId="22" priority="24" operator="equal">
      <formula>"nnnnnnnnnnnnn"</formula>
    </cfRule>
    <cfRule type="cellIs" dxfId="21" priority="27" operator="equal">
      <formula>"nnnn"</formula>
    </cfRule>
    <cfRule type="cellIs" dxfId="20" priority="28" operator="equal">
      <formula>"n"</formula>
    </cfRule>
  </conditionalFormatting>
  <conditionalFormatting sqref="A13:A14">
    <cfRule type="containsText" dxfId="19" priority="23" operator="containsText" text="FALSO">
      <formula>NOT(ISERROR(SEARCH("FALSO",A13)))</formula>
    </cfRule>
    <cfRule type="containsText" dxfId="18" priority="22" operator="containsText" text="VERO">
      <formula>NOT(ISERROR(SEARCH("VERO",A13)))</formula>
    </cfRule>
  </conditionalFormatting>
  <conditionalFormatting sqref="A14">
    <cfRule type="cellIs" dxfId="17" priority="19" operator="equal">
      <formula>"nnnnnnn"</formula>
    </cfRule>
    <cfRule type="cellIs" dxfId="16" priority="21" operator="equal">
      <formula>"n"</formula>
    </cfRule>
    <cfRule type="cellIs" dxfId="15" priority="20" operator="equal">
      <formula>"nnnn"</formula>
    </cfRule>
    <cfRule type="cellIs" dxfId="14" priority="17" operator="equal">
      <formula>"nnnnnnnnnnnnn"</formula>
    </cfRule>
    <cfRule type="cellIs" dxfId="13" priority="18" operator="equal">
      <formula>"nnnnnnnnnn"</formula>
    </cfRule>
  </conditionalFormatting>
  <conditionalFormatting sqref="A16:A17">
    <cfRule type="containsText" dxfId="12" priority="15" operator="containsText" text="VERO">
      <formula>NOT(ISERROR(SEARCH("VERO",A16)))</formula>
    </cfRule>
    <cfRule type="containsText" dxfId="11" priority="16" operator="containsText" text="FALSO">
      <formula>NOT(ISERROR(SEARCH("FALSO",A16)))</formula>
    </cfRule>
  </conditionalFormatting>
  <conditionalFormatting sqref="A17">
    <cfRule type="cellIs" dxfId="10" priority="10" operator="equal">
      <formula>"nnnnnnnnnnnnn"</formula>
    </cfRule>
    <cfRule type="cellIs" dxfId="9" priority="11" operator="equal">
      <formula>"nnnnnnnnnn"</formula>
    </cfRule>
    <cfRule type="cellIs" dxfId="8" priority="12" operator="equal">
      <formula>"nnnnnnn"</formula>
    </cfRule>
    <cfRule type="cellIs" dxfId="7" priority="13" operator="equal">
      <formula>"nnnn"</formula>
    </cfRule>
    <cfRule type="cellIs" dxfId="6" priority="14" operator="equal">
      <formula>"n"</formula>
    </cfRule>
  </conditionalFormatting>
  <conditionalFormatting sqref="B2:B3 B12 B15">
    <cfRule type="containsText" dxfId="5" priority="70" operator="containsText" text="FALSO">
      <formula>NOT(ISERROR(SEARCH("FALSO",B2)))</formula>
    </cfRule>
    <cfRule type="containsText" dxfId="4" priority="69" operator="containsText" text="VERO">
      <formula>NOT(ISERROR(SEARCH("VERO",B2)))</formula>
    </cfRule>
  </conditionalFormatting>
  <conditionalFormatting sqref="D15">
    <cfRule type="cellIs" dxfId="3" priority="31" operator="equal">
      <formula>10</formula>
    </cfRule>
    <cfRule type="cellIs" dxfId="2" priority="32" operator="between">
      <formula>1</formula>
      <formula>3</formula>
    </cfRule>
    <cfRule type="cellIs" dxfId="1" priority="33" operator="between">
      <formula>6</formula>
      <formula>4</formula>
    </cfRule>
    <cfRule type="cellIs" dxfId="0" priority="34" operator="between">
      <formula>7</formula>
      <formula>9</formula>
    </cfRule>
  </conditionalFormatting>
  <conditionalFormatting sqref="D126:D127">
    <cfRule type="iconSet" priority="9">
      <iconSet iconSet="3Arrows" showValue="0">
        <cfvo type="percent" val="0"/>
        <cfvo type="num" val="0"/>
        <cfvo type="num" val="9.9999999999999995E-7"/>
      </iconSet>
    </cfRule>
  </conditionalFormatting>
  <conditionalFormatting sqref="D129">
    <cfRule type="iconSet" priority="5">
      <iconSet iconSet="3Arrows" showValue="0" reverse="1">
        <cfvo type="percent" val="0"/>
        <cfvo type="num" val="0"/>
        <cfvo type="num" val="9.9999999999999995E-7"/>
      </iconSet>
    </cfRule>
  </conditionalFormatting>
  <conditionalFormatting sqref="D130 D133:D136">
    <cfRule type="iconSet" priority="8">
      <iconSet iconSet="3Arrows" showValue="0">
        <cfvo type="percent" val="0"/>
        <cfvo type="num" val="0"/>
        <cfvo type="num" val="9.9999999999999995E-7"/>
      </iconSet>
    </cfRule>
  </conditionalFormatting>
  <conditionalFormatting sqref="D138">
    <cfRule type="iconSet" priority="7">
      <iconSet iconSet="3Arrows" showValue="0">
        <cfvo type="percent" val="0"/>
        <cfvo type="num" val="0"/>
        <cfvo type="num" val="9.9999999999999995E-7"/>
      </iconSet>
    </cfRule>
  </conditionalFormatting>
  <conditionalFormatting sqref="D139">
    <cfRule type="iconSet" priority="1">
      <iconSet iconSet="3Arrows" showValue="0" reverse="1">
        <cfvo type="percent" val="0"/>
        <cfvo type="num" val="0"/>
        <cfvo type="num" val="9.9999999999999995E-7"/>
      </iconSet>
    </cfRule>
  </conditionalFormatting>
  <conditionalFormatting sqref="D140">
    <cfRule type="iconSet" priority="6">
      <iconSet iconSet="3Arrows" showValue="0">
        <cfvo type="percent" val="0"/>
        <cfvo type="num" val="0"/>
        <cfvo type="num" val="9.9999999999999995E-7"/>
      </iconSet>
    </cfRule>
  </conditionalFormatting>
  <conditionalFormatting sqref="D141">
    <cfRule type="iconSet" priority="3">
      <iconSet iconSet="3Arrows" showValue="0" reverse="1">
        <cfvo type="percent" val="0"/>
        <cfvo type="num" val="0"/>
        <cfvo type="num" val="9.9999999999999995E-7"/>
      </iconSet>
    </cfRule>
  </conditionalFormatting>
  <conditionalFormatting sqref="D142">
    <cfRule type="iconSet" priority="2">
      <iconSet iconSet="3Arrows" showValue="0" reverse="1">
        <cfvo type="percent" val="0"/>
        <cfvo type="num" val="0"/>
        <cfvo type="num" val="9.9999999999999995E-7"/>
      </iconSet>
    </cfRule>
  </conditionalFormatting>
  <dataValidations count="1">
    <dataValidation type="list" allowBlank="1" showInputMessage="1" showErrorMessage="1" sqref="B11 B14 B17 B57" xr:uid="{00000000-0002-0000-0100-000000000000}">
      <formula1>"Eccellente,Positiva,Adeguata,Critica,Molto Critica, -"</formula1>
    </dataValidation>
  </dataValidations>
  <pageMargins left="0.51181102362204722" right="0.51181102362204722" top="0.15748031496062989" bottom="0.15748031496062989" header="0.31496062992125978" footer="0.31496062992125978"/>
  <pageSetup paperSize="9" scale="80" fitToHeight="0" orientation="portrait" r:id="rId1"/>
  <rowBreaks count="1" manualBreakCount="1">
    <brk id="122" max="3" man="1"/>
  </rowBreaks>
  <colBreaks count="2" manualBreakCount="2">
    <brk id="4" max="141" man="1"/>
    <brk id="28" max="150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Input</vt:lpstr>
      <vt:lpstr>Report</vt:lpstr>
      <vt:lpstr>Report!Area_stampa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 Casadei</dc:creator>
  <cp:lastModifiedBy>Luca Mambelli</cp:lastModifiedBy>
  <cp:lastPrinted>2026-05-25T14:48:55Z</cp:lastPrinted>
  <dcterms:created xsi:type="dcterms:W3CDTF">2015-06-05T18:19:34Z</dcterms:created>
  <dcterms:modified xsi:type="dcterms:W3CDTF">2026-06-05T10:33:58Z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0x0101005BFD78E6C2760240BB2F72201E2425F1</vt:lpwstr>
  </property>
  <property fmtid="{D5CDD505-2E9C-101B-9397-08002B2CF9AE}" pid="3" name="Order">
    <vt:r8>39200</vt:r8>
  </property>
  <property fmtid="{D5CDD505-2E9C-101B-9397-08002B2CF9AE}" pid="4" name="MediaServiceImageTags">
    <vt:lpwstr/>
  </property>
</Properties>
</file>