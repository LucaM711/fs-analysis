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0" yWindow="600" windowWidth="29040" windowHeight="15720" tabRatio="600" firstSheet="0" activeTab="0" autoFilterDateGrouping="1"/>
  </bookViews>
  <sheets>
    <sheet name="Input" sheetId="1" state="visible" r:id="rId1"/>
    <sheet name="Report" sheetId="2" state="visible" r:id="rId2"/>
  </sheets>
  <definedNames>
    <definedName name="_xlnm.Print_Area" localSheetId="1">'Report'!$A$1:$D$185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00"/>
    <numFmt numFmtId="167" formatCode="#,##0.00\ &quot;€&quot;"/>
    <numFmt numFmtId="168" formatCode="#,##0.00\ &quot;€&quot;;\-#,##0.00\ &quot;€&quot;"/>
    <numFmt numFmtId="169" formatCode="_-* #,##0.00_-;\-* #,##0.00_-;_-* &quot;-&quot;??_-;_-@_-"/>
    <numFmt numFmtId="170" formatCode="#,##0.00\ _€;\-#,##0.00\ _€"/>
  </numFmts>
  <fonts count="36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Wingdings"/>
      <charset val="2"/>
      <color theme="1"/>
      <sz val="26"/>
    </font>
    <font>
      <name val="Aptos"/>
      <family val="2"/>
      <color theme="1"/>
      <sz val="72"/>
    </font>
    <font>
      <name val="Arial"/>
      <family val="2"/>
      <color theme="0"/>
      <sz val="11"/>
      <scheme val="minor"/>
    </font>
    <font>
      <name val="Aptos"/>
      <family val="2"/>
      <b val="1"/>
      <color theme="0"/>
      <sz val="11"/>
    </font>
    <font>
      <name val="Aptos"/>
      <family val="2"/>
      <color theme="0"/>
      <sz val="11"/>
    </font>
    <font>
      <name val="Syne"/>
      <color theme="1"/>
      <sz val="11"/>
    </font>
    <font>
      <name val="Syne"/>
      <color rgb="FF0092FF"/>
      <sz val="11"/>
    </font>
    <font>
      <name val="Syne"/>
      <b val="1"/>
      <color theme="1"/>
      <sz val="18"/>
    </font>
    <font>
      <name val="Syne"/>
      <color theme="1"/>
      <sz val="10"/>
    </font>
    <font>
      <name val="Syne"/>
      <color theme="0"/>
      <sz val="11"/>
    </font>
    <font>
      <name val="Syne"/>
      <b val="1"/>
      <color theme="1"/>
      <sz val="14"/>
    </font>
    <font>
      <name val="Syne"/>
      <b val="1"/>
      <color theme="0"/>
      <sz val="11"/>
    </font>
    <font>
      <name val="Syne"/>
      <b val="1"/>
      <color theme="1"/>
      <sz val="11"/>
    </font>
    <font>
      <name val="Syne"/>
      <b val="1"/>
      <color theme="0"/>
      <sz val="16"/>
    </font>
    <font>
      <name val="Syne"/>
      <b val="1"/>
      <color theme="0"/>
      <sz val="14"/>
    </font>
    <font>
      <name val="Syne"/>
      <b val="1"/>
      <color theme="1"/>
      <sz val="10"/>
    </font>
    <font>
      <name val="Syne"/>
      <b val="1"/>
      <i val="1"/>
      <color theme="1"/>
      <sz val="11"/>
    </font>
    <font>
      <name val="Syne"/>
      <i val="1"/>
      <color theme="1"/>
      <sz val="8"/>
    </font>
    <font>
      <name val="Syne"/>
      <i val="1"/>
      <color theme="1"/>
      <sz val="11"/>
    </font>
    <font>
      <name val="Syne"/>
      <i val="1"/>
      <color theme="1"/>
      <sz val="10"/>
    </font>
    <font>
      <name val="Syne"/>
      <b val="1"/>
      <color theme="0"/>
      <sz val="10"/>
    </font>
    <font>
      <name val="Syne"/>
      <color rgb="FF012647"/>
      <sz val="11"/>
    </font>
    <font>
      <name val="Syne"/>
      <color rgb="FF0092FF"/>
      <sz val="12"/>
    </font>
    <font>
      <name val="Syne"/>
      <b val="1"/>
      <color rgb="FF012647"/>
      <sz val="14"/>
    </font>
    <font>
      <name val="Syne"/>
      <color rgb="FF012647"/>
      <sz val="14"/>
    </font>
    <font>
      <name val="Arial"/>
      <family val="2"/>
      <b val="1"/>
      <color theme="1"/>
      <sz val="11"/>
      <scheme val="minor"/>
    </font>
    <font>
      <name val="Syne"/>
      <b val="1"/>
      <i val="1"/>
      <color theme="0"/>
      <sz val="10"/>
    </font>
    <font>
      <name val="Syne"/>
      <color theme="0"/>
      <sz val="10"/>
    </font>
    <font>
      <name val="Syne"/>
      <color rgb="FF012647"/>
      <sz val="12"/>
    </font>
    <font>
      <name val="Syne"/>
      <b val="1"/>
      <color theme="1"/>
      <sz val="28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1F2FF"/>
        <bgColor indexed="64"/>
      </patternFill>
    </fill>
    <fill>
      <patternFill patternType="solid">
        <fgColor rgb="FF0092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1264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12647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44" fontId="1" fillId="0" borderId="0"/>
  </cellStyleXfs>
  <cellXfs count="19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top"/>
    </xf>
    <xf numFmtId="4" fontId="3" fillId="2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9" fontId="0" fillId="0" borderId="0" pivotButton="0" quotePrefix="0" xfId="2"/>
    <xf numFmtId="0" fontId="3" fillId="2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4" fillId="0" borderId="17" pivotButton="0" quotePrefix="0" xfId="0"/>
    <xf numFmtId="0" fontId="7" fillId="0" borderId="17" applyAlignment="1" pivotButton="0" quotePrefix="0" xfId="0">
      <alignment vertical="center"/>
    </xf>
    <xf numFmtId="4" fontId="2" fillId="0" borderId="0" pivotButton="0" quotePrefix="0" xfId="0"/>
    <xf numFmtId="4" fontId="0" fillId="2" borderId="0" pivotButton="0" quotePrefix="0" xfId="0"/>
    <xf numFmtId="9" fontId="3" fillId="0" borderId="0" pivotButton="0" quotePrefix="0" xfId="2"/>
    <xf numFmtId="10" fontId="3" fillId="0" borderId="0" pivotButton="0" quotePrefix="0" xfId="2"/>
    <xf numFmtId="9" fontId="3" fillId="0" borderId="0" pivotButton="0" quotePrefix="0" xfId="0"/>
    <xf numFmtId="0" fontId="2" fillId="0" borderId="26" pivotButton="0" quotePrefix="0" xfId="0"/>
    <xf numFmtId="0" fontId="3" fillId="0" borderId="26" pivotButton="0" quotePrefix="0" xfId="0"/>
    <xf numFmtId="9" fontId="3" fillId="0" borderId="26" pivotButton="0" quotePrefix="0" xfId="2"/>
    <xf numFmtId="10" fontId="3" fillId="0" borderId="26" pivotButton="0" quotePrefix="0" xfId="2"/>
    <xf numFmtId="0" fontId="3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29" applyAlignment="1" pivotButton="0" quotePrefix="0" xfId="0">
      <alignment horizontal="center"/>
    </xf>
    <xf numFmtId="0" fontId="2" fillId="7" borderId="29" applyAlignment="1" pivotButton="0" quotePrefix="0" xfId="0">
      <alignment horizontal="center"/>
    </xf>
    <xf numFmtId="0" fontId="2" fillId="8" borderId="29" applyAlignment="1" pivotButton="0" quotePrefix="0" xfId="0">
      <alignment horizontal="center"/>
    </xf>
    <xf numFmtId="0" fontId="9" fillId="9" borderId="29" applyAlignment="1" pivotButton="0" quotePrefix="0" xfId="0">
      <alignment horizontal="center"/>
    </xf>
    <xf numFmtId="164" fontId="3" fillId="0" borderId="0" pivotButton="0" quotePrefix="0" xfId="2"/>
    <xf numFmtId="0" fontId="3" fillId="0" borderId="1" applyAlignment="1" pivotButton="0" quotePrefix="1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9" fontId="3" fillId="0" borderId="1" applyAlignment="1" pivotButton="0" quotePrefix="0" xfId="2">
      <alignment horizontal="center" vertical="center"/>
    </xf>
    <xf numFmtId="0" fontId="2" fillId="0" borderId="15" applyAlignment="1" pivotButton="0" quotePrefix="0" xfId="0">
      <alignment horizontal="center"/>
    </xf>
    <xf numFmtId="164" fontId="3" fillId="0" borderId="0" pivotButton="0" quotePrefix="0" xfId="0"/>
    <xf numFmtId="165" fontId="3" fillId="5" borderId="15" applyAlignment="1" pivotButton="0" quotePrefix="0" xfId="0">
      <alignment horizontal="center"/>
    </xf>
    <xf numFmtId="166" fontId="3" fillId="0" borderId="0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2" fillId="0" borderId="19" pivotButton="0" quotePrefix="0" xfId="0"/>
    <xf numFmtId="0" fontId="2" fillId="0" borderId="15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19" pivotButton="0" quotePrefix="0" xfId="0"/>
    <xf numFmtId="1" fontId="3" fillId="0" borderId="15" applyAlignment="1" pivotButton="0" quotePrefix="0" xfId="0">
      <alignment horizontal="center" vertical="center"/>
    </xf>
    <xf numFmtId="167" fontId="3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3" fillId="0" borderId="15" applyAlignment="1" pivotButton="0" quotePrefix="0" xfId="0">
      <alignment horizontal="center"/>
    </xf>
    <xf numFmtId="9" fontId="3" fillId="0" borderId="19" pivotButton="0" quotePrefix="0" xfId="0"/>
    <xf numFmtId="0" fontId="3" fillId="0" borderId="33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/>
    </xf>
    <xf numFmtId="4" fontId="3" fillId="0" borderId="15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34" pivotButton="0" quotePrefix="0" xfId="0"/>
    <xf numFmtId="2" fontId="3" fillId="0" borderId="0" pivotButton="0" quotePrefix="0" xfId="0"/>
    <xf numFmtId="2" fontId="0" fillId="0" borderId="0" pivotButton="0" quotePrefix="0" xfId="0"/>
    <xf numFmtId="0" fontId="3" fillId="6" borderId="0" pivotButton="0" quotePrefix="0" xfId="0"/>
    <xf numFmtId="0" fontId="3" fillId="10" borderId="0" pivotButton="0" quotePrefix="0" xfId="0"/>
    <xf numFmtId="0" fontId="3" fillId="8" borderId="0" pivotButton="0" quotePrefix="0" xfId="0"/>
    <xf numFmtId="0" fontId="10" fillId="9" borderId="0" pivotButton="0" quotePrefix="0" xfId="0"/>
    <xf numFmtId="1" fontId="3" fillId="0" borderId="1" pivotButton="0" quotePrefix="0" xfId="0"/>
    <xf numFmtId="10" fontId="3" fillId="0" borderId="0" pivotButton="0" quotePrefix="0" xfId="0"/>
    <xf numFmtId="10" fontId="2" fillId="0" borderId="0" pivotButton="0" quotePrefix="0" xfId="0"/>
    <xf numFmtId="4" fontId="3" fillId="0" borderId="0" pivotButton="0" quotePrefix="0" xfId="0"/>
    <xf numFmtId="9" fontId="2" fillId="0" borderId="0" pivotButton="0" quotePrefix="0" xfId="2"/>
    <xf numFmtId="0" fontId="9" fillId="11" borderId="0" pivotButton="0" quotePrefix="0" xfId="0"/>
    <xf numFmtId="164" fontId="9" fillId="11" borderId="0" pivotButton="0" quotePrefix="0" xfId="0"/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" fontId="15" fillId="0" borderId="0" pivotButton="0" quotePrefix="0" xfId="0"/>
    <xf numFmtId="0" fontId="15" fillId="0" borderId="0" pivotButton="0" quotePrefix="0" xfId="0"/>
    <xf numFmtId="0" fontId="18" fillId="0" borderId="16" applyAlignment="1" pivotButton="0" quotePrefix="0" xfId="0">
      <alignment horizontal="center" vertical="center"/>
    </xf>
    <xf numFmtId="0" fontId="14" fillId="0" borderId="9" pivotButton="0" quotePrefix="0" xfId="0"/>
    <xf numFmtId="0" fontId="11" fillId="0" borderId="3" pivotButton="0" quotePrefix="0" xfId="0"/>
    <xf numFmtId="0" fontId="21" fillId="3" borderId="9" pivotButton="0" quotePrefix="0" xfId="0"/>
    <xf numFmtId="10" fontId="22" fillId="3" borderId="3" applyAlignment="1" pivotButton="0" quotePrefix="0" xfId="2">
      <alignment horizontal="center" vertical="center"/>
    </xf>
    <xf numFmtId="0" fontId="23" fillId="0" borderId="9" pivotButton="0" quotePrefix="0" xfId="0"/>
    <xf numFmtId="10" fontId="24" fillId="0" borderId="3" pivotButton="0" quotePrefix="0" xfId="2"/>
    <xf numFmtId="0" fontId="24" fillId="0" borderId="3" pivotButton="0" quotePrefix="0" xfId="0"/>
    <xf numFmtId="0" fontId="23" fillId="0" borderId="10" pivotButton="0" quotePrefix="0" xfId="0"/>
    <xf numFmtId="10" fontId="24" fillId="0" borderId="4" pivotButton="0" quotePrefix="0" xfId="2"/>
    <xf numFmtId="0" fontId="24" fillId="0" borderId="4" pivotButton="0" quotePrefix="0" xfId="0"/>
    <xf numFmtId="0" fontId="21" fillId="3" borderId="14" pivotButton="0" quotePrefix="0" xfId="0"/>
    <xf numFmtId="10" fontId="22" fillId="3" borderId="5" applyAlignment="1" pivotButton="0" quotePrefix="0" xfId="2">
      <alignment horizontal="center" vertical="center"/>
    </xf>
    <xf numFmtId="0" fontId="21" fillId="3" borderId="9" pivotButton="0" quotePrefix="1" xfId="0"/>
    <xf numFmtId="0" fontId="23" fillId="0" borderId="12" pivotButton="0" quotePrefix="0" xfId="0"/>
    <xf numFmtId="10" fontId="24" fillId="0" borderId="13" pivotButton="0" quotePrefix="0" xfId="2"/>
    <xf numFmtId="0" fontId="11" fillId="0" borderId="13" pivotButton="0" quotePrefix="0" xfId="0"/>
    <xf numFmtId="0" fontId="14" fillId="0" borderId="23" pivotButton="0" quotePrefix="0" xfId="0"/>
    <xf numFmtId="0" fontId="14" fillId="0" borderId="24" pivotButton="0" quotePrefix="0" xfId="0"/>
    <xf numFmtId="0" fontId="14" fillId="0" borderId="25" pivotButton="0" quotePrefix="0" xfId="0"/>
    <xf numFmtId="0" fontId="25" fillId="0" borderId="0" applyAlignment="1" pivotButton="0" quotePrefix="0" xfId="0">
      <alignment horizontal="center"/>
    </xf>
    <xf numFmtId="9" fontId="24" fillId="0" borderId="3" pivotButton="0" quotePrefix="0" xfId="2"/>
    <xf numFmtId="0" fontId="24" fillId="0" borderId="3" applyAlignment="1" pivotButton="0" quotePrefix="0" xfId="0">
      <alignment horizontal="center" vertical="center"/>
    </xf>
    <xf numFmtId="9" fontId="24" fillId="0" borderId="4" pivotButton="0" quotePrefix="0" xfId="2"/>
    <xf numFmtId="0" fontId="24" fillId="0" borderId="4" applyAlignment="1" pivotButton="0" quotePrefix="0" xfId="0">
      <alignment horizontal="center" vertical="center"/>
    </xf>
    <xf numFmtId="10" fontId="22" fillId="3" borderId="4" applyAlignment="1" pivotButton="0" quotePrefix="0" xfId="2">
      <alignment horizontal="center" vertical="center"/>
    </xf>
    <xf numFmtId="0" fontId="21" fillId="3" borderId="11" pivotButton="0" quotePrefix="0" xfId="0"/>
    <xf numFmtId="10" fontId="22" fillId="3" borderId="6" applyAlignment="1" pivotButton="0" quotePrefix="0" xfId="2">
      <alignment horizontal="center" vertical="center"/>
    </xf>
    <xf numFmtId="0" fontId="11" fillId="0" borderId="20" pivotButton="0" quotePrefix="0" xfId="0"/>
    <xf numFmtId="2" fontId="11" fillId="0" borderId="3" applyAlignment="1" pivotButton="0" quotePrefix="0" xfId="0">
      <alignment horizontal="center" vertical="center"/>
    </xf>
    <xf numFmtId="10" fontId="11" fillId="0" borderId="3" applyAlignment="1" pivotButton="0" quotePrefix="0" xfId="2">
      <alignment horizontal="center" vertical="center"/>
    </xf>
    <xf numFmtId="3" fontId="11" fillId="0" borderId="3" applyAlignment="1" pivotButton="0" quotePrefix="0" xfId="0">
      <alignment horizontal="center" vertical="center"/>
    </xf>
    <xf numFmtId="0" fontId="11" fillId="12" borderId="0" pivotButton="0" quotePrefix="0" xfId="0"/>
    <xf numFmtId="0" fontId="17" fillId="12" borderId="15" applyAlignment="1" pivotButton="0" quotePrefix="0" xfId="0">
      <alignment horizontal="left" vertical="center"/>
    </xf>
    <xf numFmtId="0" fontId="19" fillId="12" borderId="8" applyAlignment="1" pivotButton="0" quotePrefix="0" xfId="0">
      <alignment horizontal="center" vertical="center" wrapText="1"/>
    </xf>
    <xf numFmtId="0" fontId="20" fillId="12" borderId="7" applyAlignment="1" pivotButton="0" quotePrefix="0" xfId="0">
      <alignment horizontal="center" vertical="center" wrapText="1"/>
    </xf>
    <xf numFmtId="0" fontId="17" fillId="12" borderId="8" applyAlignment="1" pivotButton="0" quotePrefix="0" xfId="0">
      <alignment horizontal="center" vertical="center" wrapText="1"/>
    </xf>
    <xf numFmtId="0" fontId="20" fillId="12" borderId="7" applyAlignment="1" pivotButton="0" quotePrefix="0" xfId="0">
      <alignment horizontal="center" vertical="center"/>
    </xf>
    <xf numFmtId="0" fontId="17" fillId="12" borderId="8" applyAlignment="1" pivotButton="0" quotePrefix="0" xfId="0">
      <alignment horizontal="center" vertical="center"/>
    </xf>
    <xf numFmtId="0" fontId="17" fillId="12" borderId="18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Continuous"/>
    </xf>
    <xf numFmtId="1" fontId="12" fillId="12" borderId="0" applyAlignment="1" pivotButton="0" quotePrefix="0" xfId="0">
      <alignment horizontal="centerContinuous"/>
    </xf>
    <xf numFmtId="0" fontId="19" fillId="12" borderId="0" applyAlignment="1" pivotButton="0" quotePrefix="0" xfId="0">
      <alignment horizontal="centerContinuous" vertical="center"/>
    </xf>
    <xf numFmtId="0" fontId="16" fillId="0" borderId="35" pivotButton="0" quotePrefix="0" xfId="0"/>
    <xf numFmtId="1" fontId="0" fillId="0" borderId="0" pivotButton="0" quotePrefix="0" xfId="0"/>
    <xf numFmtId="0" fontId="27" fillId="0" borderId="0" pivotButton="0" quotePrefix="0" xfId="0"/>
    <xf numFmtId="0" fontId="0" fillId="2" borderId="0" pivotButton="0" quotePrefix="0" xfId="0"/>
    <xf numFmtId="0" fontId="29" fillId="0" borderId="0" applyAlignment="1" pivotButton="0" quotePrefix="0" xfId="0">
      <alignment horizontal="center" vertical="center"/>
    </xf>
    <xf numFmtId="168" fontId="30" fillId="0" borderId="0" applyAlignment="1" pivotButton="0" quotePrefix="0" xfId="3">
      <alignment horizontal="center" vertical="center"/>
    </xf>
    <xf numFmtId="0" fontId="28" fillId="0" borderId="0" applyAlignment="1" pivotButton="0" quotePrefix="0" xfId="0">
      <alignment horizontal="center" vertical="center"/>
    </xf>
    <xf numFmtId="167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17" fillId="9" borderId="0" pivotButton="0" quotePrefix="0" xfId="0"/>
    <xf numFmtId="169" fontId="17" fillId="13" borderId="0" pivotButton="0" quotePrefix="0" xfId="1"/>
    <xf numFmtId="0" fontId="17" fillId="14" borderId="0" pivotButton="0" quotePrefix="0" xfId="0"/>
    <xf numFmtId="0" fontId="21" fillId="15" borderId="9" pivotButton="0" quotePrefix="0" xfId="0"/>
    <xf numFmtId="0" fontId="18" fillId="15" borderId="3" applyAlignment="1" pivotButton="0" quotePrefix="0" xfId="0">
      <alignment vertical="center"/>
    </xf>
    <xf numFmtId="0" fontId="26" fillId="13" borderId="9" pivotButton="0" quotePrefix="0" xfId="0"/>
    <xf numFmtId="0" fontId="17" fillId="13" borderId="3" pivotButton="0" quotePrefix="0" xfId="0"/>
    <xf numFmtId="0" fontId="18" fillId="15" borderId="3" applyAlignment="1" pivotButton="0" quotePrefix="0" xfId="0">
      <alignment horizontal="center" vertical="center"/>
    </xf>
    <xf numFmtId="0" fontId="33" fillId="13" borderId="20" pivotButton="0" quotePrefix="0" xfId="0"/>
    <xf numFmtId="0" fontId="15" fillId="13" borderId="20" applyAlignment="1" pivotButton="0" quotePrefix="0" xfId="0">
      <alignment horizontal="center" vertical="center"/>
    </xf>
    <xf numFmtId="1" fontId="11" fillId="0" borderId="3" applyAlignment="1" pivotButton="0" quotePrefix="0" xfId="0">
      <alignment horizontal="center" vertical="center"/>
    </xf>
    <xf numFmtId="1" fontId="11" fillId="0" borderId="22" applyAlignment="1" pivotButton="0" quotePrefix="0" xfId="0">
      <alignment horizontal="center" vertical="center"/>
    </xf>
    <xf numFmtId="0" fontId="17" fillId="12" borderId="36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10" fontId="11" fillId="0" borderId="20" applyAlignment="1" pivotButton="0" quotePrefix="0" xfId="2">
      <alignment horizontal="center" vertical="center"/>
    </xf>
    <xf numFmtId="3" fontId="11" fillId="0" borderId="20" applyAlignment="1" pivotButton="0" quotePrefix="0" xfId="0">
      <alignment horizontal="center" vertical="center"/>
    </xf>
    <xf numFmtId="1" fontId="11" fillId="0" borderId="20" applyAlignment="1" pivotButton="0" quotePrefix="0" xfId="0">
      <alignment horizontal="center" vertical="center"/>
    </xf>
    <xf numFmtId="1" fontId="11" fillId="0" borderId="34" applyAlignment="1" pivotButton="0" quotePrefix="0" xfId="0">
      <alignment horizontal="center" vertical="center"/>
    </xf>
    <xf numFmtId="0" fontId="26" fillId="12" borderId="18" applyAlignment="1" pivotButton="0" quotePrefix="0" xfId="0">
      <alignment horizontal="center" vertical="center"/>
    </xf>
    <xf numFmtId="0" fontId="32" fillId="13" borderId="3" pivotButton="0" quotePrefix="0" xfId="0"/>
    <xf numFmtId="0" fontId="14" fillId="0" borderId="3" pivotButton="0" quotePrefix="0" xfId="0"/>
    <xf numFmtId="0" fontId="14" fillId="0" borderId="22" pivotButton="0" quotePrefix="0" xfId="0"/>
    <xf numFmtId="0" fontId="33" fillId="13" borderId="3" pivotButton="0" quotePrefix="0" xfId="0"/>
    <xf numFmtId="0" fontId="15" fillId="13" borderId="3" applyAlignment="1" pivotButton="0" quotePrefix="0" xfId="0">
      <alignment horizontal="center" vertical="center"/>
    </xf>
    <xf numFmtId="0" fontId="15" fillId="13" borderId="3" pivotButton="0" quotePrefix="0" xfId="0"/>
    <xf numFmtId="2" fontId="11" fillId="0" borderId="3" applyAlignment="1" pivotButton="0" quotePrefix="0" xfId="0">
      <alignment horizontal="center"/>
    </xf>
    <xf numFmtId="2" fontId="11" fillId="0" borderId="22" applyAlignment="1" pivotButton="0" quotePrefix="0" xfId="0">
      <alignment horizontal="center"/>
    </xf>
    <xf numFmtId="0" fontId="31" fillId="0" borderId="0" pivotButton="0" quotePrefix="0" xfId="0"/>
    <xf numFmtId="0" fontId="14" fillId="0" borderId="12" applyAlignment="1" pivotButton="0" quotePrefix="0" xfId="0">
      <alignment vertical="center"/>
    </xf>
    <xf numFmtId="0" fontId="11" fillId="0" borderId="13" applyAlignment="1" pivotButton="0" quotePrefix="0" xfId="1">
      <alignment vertical="center"/>
    </xf>
    <xf numFmtId="10" fontId="11" fillId="0" borderId="13" applyAlignment="1" pivotButton="0" quotePrefix="0" xfId="2">
      <alignment vertical="center"/>
    </xf>
    <xf numFmtId="3" fontId="11" fillId="3" borderId="3" pivotButton="0" quotePrefix="0" xfId="1"/>
    <xf numFmtId="3" fontId="18" fillId="3" borderId="3" pivotButton="0" quotePrefix="0" xfId="1"/>
    <xf numFmtId="3" fontId="11" fillId="3" borderId="5" pivotButton="0" quotePrefix="0" xfId="1"/>
    <xf numFmtId="3" fontId="18" fillId="3" borderId="6" pivotButton="0" quotePrefix="0" xfId="1"/>
    <xf numFmtId="3" fontId="11" fillId="3" borderId="4" pivotButton="0" quotePrefix="0" xfId="1"/>
    <xf numFmtId="1" fontId="35" fillId="0" borderId="17" applyAlignment="1" pivotButton="0" quotePrefix="0" xfId="0">
      <alignment horizontal="center" vertical="center"/>
    </xf>
    <xf numFmtId="0" fontId="17" fillId="13" borderId="0" pivotButton="0" quotePrefix="0" xfId="0"/>
    <xf numFmtId="0" fontId="19" fillId="12" borderId="0" applyAlignment="1" pivotButton="0" quotePrefix="0" xfId="0">
      <alignment horizontal="center" vertical="center"/>
    </xf>
    <xf numFmtId="4" fontId="18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top" wrapText="1"/>
    </xf>
    <xf numFmtId="0" fontId="16" fillId="0" borderId="35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0" fillId="9" borderId="0" pivotButton="0" quotePrefix="0" xfId="0"/>
    <xf numFmtId="170" fontId="0" fillId="2" borderId="0" pivotButton="0" quotePrefix="0" xfId="1"/>
    <xf numFmtId="4" fontId="3" fillId="7" borderId="0" pivotButton="0" quotePrefix="0" xfId="0"/>
    <xf numFmtId="0" fontId="3" fillId="7" borderId="0" pivotButton="0" quotePrefix="0" xfId="0"/>
    <xf numFmtId="0" fontId="2" fillId="0" borderId="27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4" fillId="0" borderId="0" applyAlignment="1" pivotButton="0" quotePrefix="0" xfId="0">
      <alignment horizontal="center" vertical="top" wrapText="1"/>
    </xf>
    <xf numFmtId="170" fontId="0" fillId="2" borderId="0" pivotButton="0" quotePrefix="0" xfId="1"/>
    <xf numFmtId="0" fontId="0" fillId="0" borderId="28" pivotButton="0" quotePrefix="0" xfId="0"/>
    <xf numFmtId="0" fontId="0" fillId="0" borderId="16" pivotButton="0" quotePrefix="0" xfId="0"/>
    <xf numFmtId="168" fontId="30" fillId="0" borderId="0" applyAlignment="1" pivotButton="0" quotePrefix="0" xfId="3">
      <alignment horizontal="center" vertical="center"/>
    </xf>
    <xf numFmtId="169" fontId="17" fillId="13" borderId="0" pivotButton="0" quotePrefix="0" xfId="1"/>
  </cellXfs>
  <cellStyles count="4">
    <cellStyle name="Normale" xfId="0" builtinId="0"/>
    <cellStyle name="Migliaia" xfId="1" builtinId="3"/>
    <cellStyle name="Percentuale" xfId="2" builtinId="5"/>
    <cellStyle name="Valuta" xfId="3" builtinId="4"/>
  </cellStyles>
  <dxfs count="37">
    <dxf>
      <font>
        <color rgb="FFFF0000"/>
      </font>
    </dxf>
    <dxf>
      <font>
        <color theme="7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theme="0"/>
      </font>
    </dxf>
    <dxf>
      <font>
        <color theme="7" tint="-0.249946592608417"/>
      </font>
    </dxf>
    <dxf>
      <font>
        <color theme="7" tint="-0.249946592608417"/>
      </font>
    </dxf>
    <dxf>
      <font>
        <color theme="6" tint="-0.249946592608417"/>
      </font>
    </dxf>
    <dxf>
      <font>
        <color rgb="FF00B050"/>
      </font>
    </dxf>
    <dxf>
      <font>
        <color rgb="FF00B050"/>
      </font>
    </dxf>
    <dxf>
      <font>
        <color theme="0"/>
      </font>
    </dxf>
    <dxf>
      <font>
        <color theme="7" tint="-0.249946592608417"/>
      </font>
    </dxf>
    <dxf>
      <font>
        <color theme="7" tint="-0.249946592608417"/>
      </font>
    </dxf>
    <dxf>
      <font>
        <color theme="7" tint="-0.249946592608417"/>
      </font>
    </dxf>
    <dxf>
      <font>
        <color theme="6" tint="-0.249946592608417"/>
      </font>
    </dxf>
    <dxf>
      <font>
        <color rgb="FF00B050"/>
      </font>
    </dxf>
    <dxf>
      <font>
        <color rgb="FF00B050"/>
      </font>
    </dxf>
    <dxf>
      <font>
        <color theme="7" tint="-0.249946592608417"/>
      </font>
    </dxf>
    <dxf>
      <font>
        <color theme="0"/>
      </font>
    </dxf>
    <dxf>
      <font>
        <color rgb="FF00B050"/>
      </font>
    </dxf>
    <dxf>
      <font>
        <color rgb="FF00B050"/>
      </font>
    </dxf>
    <dxf>
      <font>
        <color theme="6" tint="-0.249946592608417"/>
      </font>
    </dxf>
    <dxf>
      <font>
        <color theme="7" tint="-0.249946592608417"/>
      </font>
    </dxf>
    <dxf>
      <font>
        <color theme="7" tint="-0.249946592608417"/>
      </font>
    </dxf>
    <dxf>
      <font>
        <color theme="7" tint="-0.249946592608417"/>
      </font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noFill/>
              <a:ln w="19050">
                <a:solidFill>
                  <a:schemeClr val="lt1"/>
                </a:solidFill>
                <a:prstDash val="solid"/>
              </a:ln>
            </spPr>
          </dPt>
          <val>
            <numRef>
              <f>Input!$E$112:$E$114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270"/>
        <holeSize val="63"/>
      </doughnutChart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noFill/>
              <a:ln w="19050">
                <a:solidFill>
                  <a:schemeClr val="lt1"/>
                </a:solidFill>
                <a:prstDash val="solid"/>
              </a:ln>
            </spPr>
          </dPt>
          <val>
            <numRef>
              <f>Input!$D$112:$D$114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270"/>
        <holeSize val="63"/>
      </doughnutChart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noFill/>
              <a:ln w="19050">
                <a:solidFill>
                  <a:schemeClr val="lt1"/>
                </a:solidFill>
                <a:prstDash val="solid"/>
              </a:ln>
            </spPr>
          </dPt>
          <val>
            <numRef>
              <f>Input!$C$112:$C$114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270"/>
        <holeSize val="63"/>
      </doughnutChart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tx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noFill/>
              <a:ln w="19050">
                <a:solidFill>
                  <a:schemeClr val="lt1"/>
                </a:solidFill>
                <a:prstDash val="solid"/>
              </a:ln>
            </spPr>
          </dPt>
          <val>
            <numRef>
              <f>Input!$B$112:$B$114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270"/>
        <holeSize val="63"/>
      </doughnutChart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1.png" Id="rId5" /><Relationship Type="http://schemas.openxmlformats.org/officeDocument/2006/relationships/image" Target="/xl/media/image2.png" Id="rId6" /><Relationship Type="http://schemas.openxmlformats.org/officeDocument/2006/relationships/image" Target="/xl/media/image3.png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1224915</colOff>
      <row>12</row>
      <rowOff>149227</rowOff>
    </from>
    <to>
      <col>4</col>
      <colOff>494903</colOff>
      <row>17</row>
      <rowOff>136051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1217295</colOff>
      <row>12</row>
      <rowOff>158356</rowOff>
    </from>
    <to>
      <col>4</col>
      <colOff>494903</colOff>
      <row>17</row>
      <rowOff>120018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</col>
      <colOff>1178641</colOff>
      <row>12</row>
      <rowOff>132478</rowOff>
    </from>
    <to>
      <col>4</col>
      <colOff>559119</colOff>
      <row>18</row>
      <rowOff>22623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</col>
      <colOff>1216899</colOff>
      <row>12</row>
      <rowOff>153433</rowOff>
    </from>
    <to>
      <col>4</col>
      <colOff>530702</colOff>
      <row>17</row>
      <rowOff>146449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3</col>
      <colOff>1516381</colOff>
      <row>0</row>
      <rowOff>92003</rowOff>
    </from>
    <to>
      <col>3</col>
      <colOff>2001806</colOff>
      <row>0</row>
      <rowOff>381000</rowOff>
    </to>
    <pic>
      <nvPicPr>
        <cNvPr id="18" name="Immagine 17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7479031" y="92003"/>
          <a:ext cx="485425" cy="28899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</col>
      <colOff>1578770</colOff>
      <row>56</row>
      <rowOff>34767</rowOff>
    </from>
    <to>
      <col>3</col>
      <colOff>2003237</colOff>
      <row>56</row>
      <rowOff>306704</rowOff>
    </to>
    <pic>
      <nvPicPr>
        <cNvPr id="21" name="Immagine 20"/>
        <cNvPicPr>
          <a:picLocks noChangeAspect="1" noChangeArrowheads="1"/>
        </cNvPicPr>
      </nvPicPr>
      <blipFill>
        <a:blip cstate="print" r:embed="rId6"/>
        <a:srcRect/>
        <a:stretch>
          <a:fillRect/>
        </a:stretch>
      </blipFill>
      <spPr bwMode="auto">
        <a:xfrm>
          <a:off x="7541420" y="12741117"/>
          <a:ext cx="433992" cy="2719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</col>
      <colOff>1607820</colOff>
      <row>184</row>
      <rowOff>55245</rowOff>
    </from>
    <to>
      <col>3</col>
      <colOff>2022762</colOff>
      <row>184</row>
      <rowOff>330992</rowOff>
    </to>
    <pic>
      <nvPicPr>
        <cNvPr id="3" name="Immagine 2"/>
        <cNvPicPr>
          <a:picLocks noChangeAspect="1" noChangeArrowheads="1"/>
        </cNvPicPr>
      </nvPicPr>
      <blipFill>
        <a:blip cstate="print" r:embed="rId7"/>
        <a:srcRect/>
        <a:stretch>
          <a:fillRect/>
        </a:stretch>
      </blipFill>
      <spPr bwMode="auto">
        <a:xfrm>
          <a:off x="7570470" y="38593395"/>
          <a:ext cx="414942" cy="27574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Word">
  <a:themeElements>
    <a:clrScheme name="VEM_VISUAL IDENTITY 2025">
      <a:dk1>
        <a:srgbClr val="012647"/>
      </a:dk1>
      <a:lt1>
        <a:srgbClr val="FFFFFF"/>
      </a:lt1>
      <a:dk2>
        <a:srgbClr val="596782"/>
      </a:dk2>
      <a:lt2>
        <a:srgbClr val="0091FF"/>
      </a:lt2>
      <a:accent1>
        <a:srgbClr val="57C88B"/>
      </a:accent1>
      <a:accent2>
        <a:srgbClr val="184777"/>
      </a:accent2>
      <a:accent3>
        <a:srgbClr val="FFE67E"/>
      </a:accent3>
      <a:accent4>
        <a:srgbClr val="EF6D7F"/>
      </a:accent4>
      <a:accent5>
        <a:srgbClr val="B6337D"/>
      </a:accent5>
      <a:accent6>
        <a:srgbClr val="00B3FF"/>
      </a:accent6>
      <a:hlink>
        <a:srgbClr val="FFFFFF"/>
      </a:hlink>
      <a:folHlink>
        <a:srgbClr val="FFFFF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Q143"/>
  <sheetViews>
    <sheetView tabSelected="1" workbookViewId="0">
      <selection activeCell="B27" sqref="B27:C49"/>
    </sheetView>
  </sheetViews>
  <sheetFormatPr baseColWidth="10" defaultColWidth="8.83203125" defaultRowHeight="14"/>
  <cols>
    <col width="50.5" customWidth="1" min="1" max="1"/>
    <col width="15.33203125" customWidth="1" min="2" max="2"/>
    <col width="14.1640625" customWidth="1" min="3" max="4"/>
    <col width="18" customWidth="1" min="5" max="5"/>
    <col width="18.33203125" customWidth="1" min="6" max="6"/>
    <col width="12.6640625" customWidth="1" min="7" max="7"/>
    <col width="18.1640625" customWidth="1" min="8" max="8"/>
    <col width="13.5" customWidth="1" min="9" max="9"/>
    <col width="11.6640625" customWidth="1" min="10" max="10"/>
    <col width="11.5" customWidth="1" min="12" max="12"/>
    <col width="14.6640625" customWidth="1" min="13" max="13"/>
    <col width="15" customWidth="1" min="16" max="16"/>
    <col width="25.83203125" customWidth="1" min="17" max="17"/>
    <col width="44.5" customWidth="1" min="18" max="18"/>
    <col width="27.6640625" bestFit="1" customWidth="1" min="19" max="19"/>
  </cols>
  <sheetData>
    <row r="1" ht="15" customHeight="1">
      <c r="A1" s="1" t="inlineStr">
        <is>
          <t>Inserire Nome Azienda</t>
        </is>
      </c>
      <c r="B1" s="9" t="n"/>
      <c r="C1" s="166" t="inlineStr">
        <is>
          <t>Tipologia</t>
        </is>
      </c>
      <c r="D1" s="166" t="inlineStr">
        <is>
          <t>Grade</t>
        </is>
      </c>
      <c r="E1" s="166" t="inlineStr">
        <is>
          <t>Fido</t>
        </is>
      </c>
    </row>
    <row r="2" ht="15" customHeight="1">
      <c r="A2" s="1" t="inlineStr">
        <is>
          <t>Inserire ultimo anno disponibile di bilancio</t>
        </is>
      </c>
      <c r="B2" s="9" t="n"/>
      <c r="C2" s="133" t="inlineStr">
        <is>
          <t>Fornitore</t>
        </is>
      </c>
      <c r="D2" s="133" t="n"/>
      <c r="E2" s="190" t="n"/>
    </row>
    <row r="4" ht="15" customHeight="1">
      <c r="A4" s="1" t="inlineStr">
        <is>
          <t>CONTO ECONOMICO</t>
        </is>
      </c>
      <c r="B4" s="2" t="n"/>
      <c r="C4" s="2" t="n"/>
      <c r="D4" s="2" t="n"/>
      <c r="E4" s="2" t="n"/>
    </row>
    <row r="5" ht="15" customHeight="1">
      <c r="A5" s="2" t="n"/>
      <c r="B5" s="2" t="n"/>
      <c r="C5" s="2" t="n"/>
      <c r="D5" s="2" t="n"/>
      <c r="E5" s="2" t="n"/>
    </row>
    <row r="6" ht="15.75" customHeight="1">
      <c r="A6" s="3" t="inlineStr">
        <is>
          <t>Voce</t>
        </is>
      </c>
      <c r="B6" s="3">
        <f>$B$2</f>
        <v/>
      </c>
      <c r="C6" s="3">
        <f>$B$6-1</f>
        <v/>
      </c>
      <c r="D6" s="3">
        <f>$B$6-2</f>
        <v/>
      </c>
      <c r="E6" s="2" t="n"/>
    </row>
    <row r="7" ht="15" customHeight="1">
      <c r="A7" s="2" t="inlineStr">
        <is>
          <t>Valore della Produzione</t>
        </is>
      </c>
      <c r="B7" s="4" t="n">
        <v>0</v>
      </c>
      <c r="C7" s="4" t="n">
        <v>0</v>
      </c>
      <c r="D7" s="4" t="n"/>
      <c r="E7" s="2" t="n"/>
    </row>
    <row r="8" ht="15" customHeight="1">
      <c r="A8" s="2" t="inlineStr">
        <is>
          <t>Ricavi di vendita</t>
        </is>
      </c>
      <c r="B8" s="4" t="n">
        <v>0</v>
      </c>
      <c r="C8" s="4" t="n">
        <v>0</v>
      </c>
      <c r="D8" s="4" t="n"/>
      <c r="E8" s="2" t="n"/>
    </row>
    <row r="9" ht="15" customHeight="1">
      <c r="A9" s="2" t="inlineStr">
        <is>
          <t>Costi della Produzione</t>
        </is>
      </c>
      <c r="B9" s="4" t="n">
        <v>0</v>
      </c>
      <c r="C9" s="4" t="n">
        <v>0</v>
      </c>
      <c r="D9" s="4" t="n"/>
      <c r="E9" s="2" t="n"/>
    </row>
    <row r="10" ht="15" customHeight="1">
      <c r="A10" s="2" t="inlineStr">
        <is>
          <t>Costi per Materie</t>
        </is>
      </c>
      <c r="B10" s="4" t="n">
        <v>0</v>
      </c>
      <c r="C10" s="4" t="n">
        <v>0</v>
      </c>
      <c r="D10" s="4" t="n"/>
      <c r="E10" s="2" t="n"/>
    </row>
    <row r="11" ht="15" customHeight="1">
      <c r="A11" s="2" t="inlineStr">
        <is>
          <t>Costi per Servizi</t>
        </is>
      </c>
      <c r="B11" s="4" t="n">
        <v>0</v>
      </c>
      <c r="C11" s="4" t="n">
        <v>0</v>
      </c>
      <c r="D11" s="4" t="n"/>
      <c r="E11" s="2" t="n"/>
    </row>
    <row r="12" ht="15" customHeight="1">
      <c r="A12" s="2" t="inlineStr">
        <is>
          <t>Costi per godimento beni di terzi</t>
        </is>
      </c>
      <c r="B12" s="4" t="n">
        <v>0</v>
      </c>
      <c r="C12" s="4" t="n">
        <v>0</v>
      </c>
      <c r="D12" s="4" t="n"/>
      <c r="E12" s="2" t="n"/>
    </row>
    <row r="13" ht="15" customHeight="1">
      <c r="A13" s="2" t="inlineStr">
        <is>
          <t>Costi Personale</t>
        </is>
      </c>
      <c r="B13" s="4" t="n">
        <v>0</v>
      </c>
      <c r="C13" s="4" t="n">
        <v>0</v>
      </c>
      <c r="D13" s="4" t="n"/>
      <c r="E13" s="2" t="n"/>
    </row>
    <row r="14" ht="15" customHeight="1">
      <c r="A14" s="2" t="inlineStr">
        <is>
          <t>Ammortamenti</t>
        </is>
      </c>
      <c r="B14" s="4" t="n">
        <v>0</v>
      </c>
      <c r="C14" s="4" t="n">
        <v>0</v>
      </c>
      <c r="D14" s="4" t="n"/>
      <c r="E14" s="72" t="n"/>
      <c r="F14" s="72" t="n"/>
      <c r="G14" s="11" t="n"/>
    </row>
    <row r="15" ht="15" customHeight="1">
      <c r="A15" s="2" t="inlineStr">
        <is>
          <t>Accantonamenti per rischi</t>
        </is>
      </c>
      <c r="B15" s="4" t="n">
        <v>0</v>
      </c>
      <c r="C15" s="4" t="n">
        <v>0</v>
      </c>
      <c r="D15" s="4" t="n"/>
      <c r="E15" s="2" t="n"/>
    </row>
    <row r="16" ht="15" customHeight="1">
      <c r="A16" s="2" t="inlineStr">
        <is>
          <t>Oneri diversi di gestione</t>
        </is>
      </c>
      <c r="B16" s="4" t="n">
        <v>0</v>
      </c>
      <c r="C16" s="4" t="n">
        <v>0</v>
      </c>
      <c r="D16" s="4" t="n"/>
      <c r="E16" s="2" t="n"/>
    </row>
    <row r="17" ht="15" customHeight="1">
      <c r="A17" s="2" t="inlineStr">
        <is>
          <t>EBIT</t>
        </is>
      </c>
      <c r="B17" s="4" t="n">
        <v>0</v>
      </c>
      <c r="C17" s="4" t="n">
        <v>0</v>
      </c>
      <c r="D17" s="4" t="n"/>
      <c r="E17" s="2" t="n"/>
    </row>
    <row r="18" ht="15" customHeight="1">
      <c r="A18" s="2" t="inlineStr">
        <is>
          <t>Proventi Finanziari</t>
        </is>
      </c>
      <c r="B18" s="4" t="n">
        <v>0</v>
      </c>
      <c r="C18" s="4" t="n">
        <v>0</v>
      </c>
      <c r="D18" s="4" t="n"/>
      <c r="E18" s="2" t="n"/>
    </row>
    <row r="19" ht="15" customHeight="1">
      <c r="A19" s="2" t="inlineStr">
        <is>
          <t>Oneri Finanziari</t>
        </is>
      </c>
      <c r="B19" s="4" t="n">
        <v>0</v>
      </c>
      <c r="C19" s="4" t="n">
        <v>0</v>
      </c>
      <c r="D19" s="4" t="n"/>
      <c r="E19" s="2" t="n"/>
    </row>
    <row r="20" ht="15" customHeight="1">
      <c r="A20" s="2" t="inlineStr">
        <is>
          <t>Utile (Perdita) dell'esercizio</t>
        </is>
      </c>
      <c r="B20" s="4" t="n">
        <v>0</v>
      </c>
      <c r="C20" s="4" t="n">
        <v>0</v>
      </c>
      <c r="D20" s="4" t="n"/>
      <c r="E20" s="2" t="n"/>
    </row>
    <row r="21" ht="15" customHeight="1">
      <c r="A21" s="2" t="inlineStr">
        <is>
          <t>Dipendenti</t>
        </is>
      </c>
      <c r="B21" s="9" t="n">
        <v>0</v>
      </c>
      <c r="C21" s="9" t="n">
        <v>0</v>
      </c>
      <c r="D21" s="9" t="n"/>
      <c r="E21" s="2" t="n"/>
    </row>
    <row r="22" ht="16" customFormat="1" customHeight="1" s="6" thickBot="1">
      <c r="A22" s="5" t="n"/>
      <c r="B22" s="5" t="n"/>
      <c r="C22" s="5" t="n"/>
      <c r="D22" s="5" t="n"/>
      <c r="E22" s="5" t="n"/>
    </row>
    <row r="23" ht="15" customHeight="1">
      <c r="A23" s="2" t="n"/>
      <c r="B23" s="2" t="n"/>
      <c r="C23" s="2" t="n"/>
      <c r="D23" s="2" t="n"/>
      <c r="E23" s="2" t="n"/>
    </row>
    <row r="24" ht="15" customHeight="1">
      <c r="A24" s="1" t="inlineStr">
        <is>
          <t>STATO PATRIMONIALE</t>
        </is>
      </c>
      <c r="B24" s="2" t="n"/>
      <c r="C24" s="2" t="n"/>
      <c r="D24" s="2" t="n"/>
      <c r="E24" s="2" t="n"/>
    </row>
    <row r="25" ht="15" customHeight="1">
      <c r="A25" s="2" t="n"/>
      <c r="B25" s="2" t="n"/>
      <c r="C25" s="2" t="n"/>
      <c r="D25" s="2" t="n"/>
      <c r="E25" s="2" t="n"/>
    </row>
    <row r="26" ht="15" customHeight="1">
      <c r="A26" s="3" t="inlineStr">
        <is>
          <t>Voce</t>
        </is>
      </c>
      <c r="B26" s="3">
        <f>$B$6</f>
        <v/>
      </c>
      <c r="C26" s="3">
        <f>$C$6</f>
        <v/>
      </c>
      <c r="D26" s="3">
        <f>$D$6</f>
        <v/>
      </c>
      <c r="E26" s="2" t="n"/>
    </row>
    <row r="27" ht="15" customHeight="1">
      <c r="A27" s="2" t="inlineStr">
        <is>
          <t>Immobilizzazioni</t>
        </is>
      </c>
      <c r="B27" s="4" t="n">
        <v>0</v>
      </c>
      <c r="C27" s="4" t="n">
        <v>0</v>
      </c>
      <c r="D27" s="4" t="n"/>
      <c r="E27" s="2" t="n"/>
    </row>
    <row r="28" ht="15" customHeight="1">
      <c r="A28" s="2" t="inlineStr">
        <is>
          <t>Rimanenze</t>
        </is>
      </c>
      <c r="B28" s="4" t="n">
        <v>0</v>
      </c>
      <c r="C28" s="4" t="n">
        <v>0</v>
      </c>
      <c r="D28" s="4" t="n"/>
      <c r="E28" s="2" t="n"/>
      <c r="F28" s="11" t="n"/>
      <c r="G28" s="11" t="n"/>
    </row>
    <row r="29" ht="15" customHeight="1">
      <c r="A29" s="2" t="inlineStr">
        <is>
          <t>Crediti</t>
        </is>
      </c>
      <c r="B29" s="4" t="n">
        <v>0</v>
      </c>
      <c r="C29" s="4" t="n">
        <v>0</v>
      </c>
      <c r="D29" s="4" t="n"/>
      <c r="E29" s="2" t="n"/>
    </row>
    <row r="30" ht="15" customHeight="1">
      <c r="A30" s="2" t="inlineStr">
        <is>
          <t>Attività Finanziarie</t>
        </is>
      </c>
      <c r="B30" s="4" t="n">
        <v>0</v>
      </c>
      <c r="C30" s="4" t="n">
        <v>0</v>
      </c>
      <c r="D30" s="4" t="n"/>
      <c r="E30" s="2" t="n"/>
    </row>
    <row r="31" ht="15" customHeight="1">
      <c r="A31" s="2" t="inlineStr">
        <is>
          <t>Disponibilità Liquide</t>
        </is>
      </c>
      <c r="B31" s="4" t="n">
        <v>0</v>
      </c>
      <c r="C31" s="4" t="n">
        <v>0</v>
      </c>
      <c r="D31" s="4" t="n"/>
      <c r="E31" s="2" t="n"/>
      <c r="F31" s="11" t="n"/>
    </row>
    <row r="32" ht="15" customHeight="1">
      <c r="A32" s="2" t="inlineStr">
        <is>
          <t>Ratei e Risconti Attivi</t>
        </is>
      </c>
      <c r="B32" s="4" t="n">
        <v>0</v>
      </c>
      <c r="C32" s="4" t="n">
        <v>0</v>
      </c>
      <c r="D32" s="4" t="n"/>
      <c r="E32" s="2" t="n"/>
      <c r="F32" s="11" t="n"/>
    </row>
    <row r="33" ht="15" customHeight="1">
      <c r="A33" s="2" t="inlineStr">
        <is>
          <t>Totale Attivo</t>
        </is>
      </c>
      <c r="B33" s="4" t="n">
        <v>0</v>
      </c>
      <c r="C33" s="4" t="n">
        <v>0</v>
      </c>
      <c r="D33" s="4" t="n"/>
      <c r="E33" s="2" t="n"/>
      <c r="F33" s="11" t="n"/>
    </row>
    <row r="34" ht="15" customHeight="1">
      <c r="A34" s="2" t="inlineStr">
        <is>
          <t>Totale Patrimonio Netto</t>
        </is>
      </c>
      <c r="B34" s="4" t="n">
        <v>0</v>
      </c>
      <c r="C34" s="4" t="n">
        <v>0</v>
      </c>
      <c r="D34" s="4" t="n"/>
      <c r="E34" s="2" t="n"/>
      <c r="F34" s="11" t="n"/>
    </row>
    <row r="35" ht="15" customHeight="1">
      <c r="A35" s="2" t="inlineStr">
        <is>
          <t>Fondi per rischi e oneri</t>
        </is>
      </c>
      <c r="B35" s="4" t="n">
        <v>0</v>
      </c>
      <c r="C35" s="4" t="n">
        <v>0</v>
      </c>
      <c r="D35" s="4" t="n"/>
      <c r="E35" s="2" t="n"/>
      <c r="F35" s="11" t="n"/>
      <c r="H35" s="11" t="n"/>
    </row>
    <row r="36" ht="15" customHeight="1">
      <c r="A36" s="2" t="inlineStr">
        <is>
          <t>Trattamento di fine rapporto di lavoro subordinato</t>
        </is>
      </c>
      <c r="B36" s="4" t="n">
        <v>0</v>
      </c>
      <c r="C36" s="4" t="n">
        <v>0</v>
      </c>
      <c r="D36" s="4" t="n"/>
      <c r="E36" s="2" t="n"/>
      <c r="F36" s="11" t="n"/>
      <c r="G36" s="11" t="n"/>
      <c r="I36" s="11" t="n"/>
      <c r="J36" s="11" t="n"/>
    </row>
    <row r="37" ht="15" customHeight="1">
      <c r="A37" s="2" t="inlineStr">
        <is>
          <t>Totale Debiti</t>
        </is>
      </c>
      <c r="B37" s="4" t="n">
        <v>0</v>
      </c>
      <c r="C37" s="4" t="n">
        <v>0</v>
      </c>
      <c r="D37" s="4" t="n"/>
      <c r="E37" s="184">
        <f>E38+E39</f>
        <v/>
      </c>
      <c r="F37" s="184">
        <f>F38+F39</f>
        <v/>
      </c>
      <c r="G37" s="184">
        <f>G38+G39</f>
        <v/>
      </c>
      <c r="H37" s="11" t="n"/>
    </row>
    <row r="38" ht="15" customHeight="1">
      <c r="A38" s="2" t="inlineStr">
        <is>
          <t>Debiti esigibili a breve</t>
        </is>
      </c>
      <c r="B38" s="4" t="n">
        <v>0</v>
      </c>
      <c r="C38" s="4" t="n">
        <v>0</v>
      </c>
      <c r="D38" s="4" t="n"/>
      <c r="E38" s="184">
        <f>B38-B41</f>
        <v/>
      </c>
      <c r="F38" s="184">
        <f>C38-C41</f>
        <v/>
      </c>
      <c r="G38" s="184">
        <f>D38-D41</f>
        <v/>
      </c>
    </row>
    <row r="39" ht="15" customHeight="1">
      <c r="A39" s="2" t="inlineStr">
        <is>
          <t>Debiti esigibili oltre l’esercizio successivo</t>
        </is>
      </c>
      <c r="B39" s="4" t="n">
        <v>0</v>
      </c>
      <c r="C39" s="4" t="n">
        <v>0</v>
      </c>
      <c r="D39" s="17" t="n"/>
      <c r="E39" s="184">
        <f>B39-B42</f>
        <v/>
      </c>
      <c r="F39" s="184">
        <f>C39-C42</f>
        <v/>
      </c>
      <c r="G39" s="184">
        <f>D39-D42</f>
        <v/>
      </c>
    </row>
    <row r="40" ht="15" customHeight="1">
      <c r="A40" s="2" t="inlineStr">
        <is>
          <t>Totale Debiti Finanziari</t>
        </is>
      </c>
      <c r="B40" s="4" t="n">
        <v>0</v>
      </c>
      <c r="C40" s="4" t="n">
        <v>0</v>
      </c>
      <c r="D40" s="4" t="n"/>
      <c r="E40" s="2" t="n"/>
    </row>
    <row r="41" ht="15" customHeight="1">
      <c r="A41" s="2" t="inlineStr">
        <is>
          <t>Debiti Finanziari esigibili a breve</t>
        </is>
      </c>
      <c r="B41" s="4" t="n">
        <v>0</v>
      </c>
      <c r="C41" s="4" t="n">
        <v>0</v>
      </c>
      <c r="D41" s="4" t="n"/>
      <c r="E41" s="2" t="n"/>
    </row>
    <row r="42" ht="15" customHeight="1">
      <c r="A42" s="2" t="inlineStr">
        <is>
          <t>Debiti Finanziari esigibili oltre l’esercizio successivo</t>
        </is>
      </c>
      <c r="B42" s="4" t="n">
        <v>0</v>
      </c>
      <c r="C42" s="4" t="n">
        <v>0</v>
      </c>
      <c r="D42" s="4" t="n"/>
      <c r="E42" s="2" t="n"/>
    </row>
    <row r="43" ht="15" customHeight="1">
      <c r="A43" s="2" t="inlineStr">
        <is>
          <t>Ratei e Risconti Passivi</t>
        </is>
      </c>
      <c r="B43" s="4" t="n">
        <v>0</v>
      </c>
      <c r="C43" s="4" t="n">
        <v>0</v>
      </c>
      <c r="D43" s="4" t="n"/>
      <c r="E43" s="2" t="n"/>
    </row>
    <row r="44" ht="15" customHeight="1">
      <c r="A44" s="2" t="inlineStr">
        <is>
          <t>Debiti verso fornitori</t>
        </is>
      </c>
      <c r="B44" s="4" t="n">
        <v>0</v>
      </c>
      <c r="C44" s="4" t="n">
        <v>0</v>
      </c>
      <c r="D44" s="4" t="n"/>
      <c r="E44" s="2" t="n"/>
    </row>
    <row r="45" ht="15" customHeight="1">
      <c r="A45" s="2" t="inlineStr">
        <is>
          <t>Crediti verso clienti</t>
        </is>
      </c>
      <c r="B45" s="4" t="n">
        <v>0</v>
      </c>
      <c r="C45" s="4" t="n">
        <v>0</v>
      </c>
      <c r="D45" s="4" t="n"/>
      <c r="E45" s="2" t="n"/>
    </row>
    <row r="46" ht="15" customHeight="1">
      <c r="A46" s="2" t="inlineStr">
        <is>
          <t>ATECO 2007</t>
        </is>
      </c>
      <c r="B46" s="9" t="n"/>
      <c r="C46" s="9" t="n"/>
      <c r="D46" s="9" t="n"/>
    </row>
    <row r="47" ht="15" customHeight="1">
      <c r="A47" s="2" t="inlineStr">
        <is>
          <t>Partita IVA</t>
        </is>
      </c>
      <c r="B47" s="9" t="n"/>
      <c r="C47" s="9" t="n"/>
      <c r="D47" s="9" t="n"/>
      <c r="E47" s="185">
        <f>IF(LEN(B47)=10,"0"&amp;B47,IF(LEN(B47)=9,"00"&amp;B47,B47))</f>
        <v/>
      </c>
    </row>
    <row r="48" ht="15" customHeight="1">
      <c r="A48" s="2" t="inlineStr">
        <is>
          <t>Forma Giuridica</t>
        </is>
      </c>
      <c r="B48" s="9" t="n"/>
      <c r="C48" s="9" t="n"/>
      <c r="D48" s="9" t="n"/>
    </row>
    <row r="49" ht="15" customHeight="1">
      <c r="A49" s="2" t="inlineStr">
        <is>
          <t>Sede</t>
        </is>
      </c>
      <c r="B49" s="9" t="n"/>
      <c r="C49" s="9" t="n"/>
      <c r="D49" s="9" t="n"/>
    </row>
    <row r="52" ht="15" customHeight="1">
      <c r="A52" s="2" t="inlineStr">
        <is>
          <t>Verifica Attivo</t>
        </is>
      </c>
      <c r="B52" s="16">
        <f>SUM(B27:B32)=B33</f>
        <v/>
      </c>
      <c r="C52" s="16">
        <f>SUM(C27:C32)=C33</f>
        <v/>
      </c>
      <c r="D52" s="16">
        <f>SUM(D27:D32)=D33</f>
        <v/>
      </c>
      <c r="F52" s="64" t="n"/>
    </row>
    <row r="53" ht="15" customHeight="1">
      <c r="A53" s="2" t="inlineStr">
        <is>
          <t>Verifica Passivo</t>
        </is>
      </c>
      <c r="B53" s="1">
        <f>(B40+E37+B36+B35+B34+B43)=B33</f>
        <v/>
      </c>
      <c r="C53" s="1">
        <f>(C43+C40+F37+C36+C35+C34)=C33</f>
        <v/>
      </c>
      <c r="D53" s="1">
        <f>(D43+D40+G37+D36+D35+D34)=D33</f>
        <v/>
      </c>
      <c r="F53" s="64" t="n"/>
    </row>
    <row r="54" ht="15" customHeight="1" thickBot="1"/>
    <row r="55" ht="16" customHeight="1" thickBot="1">
      <c r="A55" s="2" t="n"/>
      <c r="B55" s="2" t="n"/>
      <c r="C55" s="2" t="n"/>
      <c r="D55" s="2" t="n"/>
      <c r="E55" s="2" t="n"/>
      <c r="F55" s="2" t="n"/>
      <c r="G55" s="2" t="n"/>
      <c r="H55" s="42" t="inlineStr">
        <is>
          <t>Grade</t>
        </is>
      </c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2" t="n"/>
    </row>
    <row r="56" ht="15" customHeight="1">
      <c r="A56" s="21" t="inlineStr">
        <is>
          <t>Liquidità</t>
        </is>
      </c>
      <c r="B56" s="21" t="inlineStr">
        <is>
          <t>Valore di bilancio</t>
        </is>
      </c>
      <c r="C56" s="21" t="inlineStr">
        <is>
          <t>Grade</t>
        </is>
      </c>
      <c r="D56" s="21" t="inlineStr">
        <is>
          <t>Peso</t>
        </is>
      </c>
      <c r="E56" s="21" t="inlineStr">
        <is>
          <t>Grade Ponderato</t>
        </is>
      </c>
      <c r="F56" s="21" t="inlineStr">
        <is>
          <t>Peso %</t>
        </is>
      </c>
      <c r="G56" s="2" t="n"/>
      <c r="H56" s="34" t="n">
        <v>1</v>
      </c>
      <c r="I56" s="34" t="n">
        <v>2</v>
      </c>
      <c r="J56" s="34" t="n">
        <v>3</v>
      </c>
      <c r="K56" s="35" t="n">
        <v>4</v>
      </c>
      <c r="L56" s="35" t="n">
        <v>5</v>
      </c>
      <c r="M56" s="35" t="n">
        <v>6</v>
      </c>
      <c r="N56" s="36" t="n">
        <v>7</v>
      </c>
      <c r="O56" s="36" t="n">
        <v>8</v>
      </c>
      <c r="P56" s="36" t="n">
        <v>9</v>
      </c>
      <c r="Q56" s="37" t="n">
        <v>10</v>
      </c>
    </row>
    <row r="57" ht="15" customHeight="1">
      <c r="A57" s="2" t="inlineStr">
        <is>
          <t xml:space="preserve">Test Acido </t>
        </is>
      </c>
      <c r="B57" s="63">
        <f>+Report!B126</f>
        <v/>
      </c>
      <c r="C57" s="25">
        <f>IF(B57&gt;H57,$H$56,IF(B57&gt;I57,$I$56,IF(B57&gt;J57,$J$56,IF(B57&gt;K57,$K$56,IF(B57&gt;L57,$L$56,IF(B57&gt;M57,$M$56,IF(B57&gt;N57,$N$56,IF(B57&gt;O57,$O$56,IF(B57&gt;P57,$P$56,$Q$56)))))))))</f>
        <v/>
      </c>
      <c r="D57" s="18" t="n">
        <v>0.1</v>
      </c>
      <c r="E57" s="2">
        <f>C57*D57</f>
        <v/>
      </c>
      <c r="F57" s="19">
        <f>E57/$E$75</f>
        <v/>
      </c>
      <c r="G57" s="38" t="n"/>
      <c r="H57" s="27" t="n">
        <v>1.5</v>
      </c>
      <c r="I57" s="27" t="n">
        <v>1.3</v>
      </c>
      <c r="J57" s="27" t="n">
        <v>1.1</v>
      </c>
      <c r="K57" s="27" t="n">
        <v>0.9</v>
      </c>
      <c r="L57" s="27" t="n">
        <v>0.8</v>
      </c>
      <c r="M57" s="27" t="n">
        <v>0.7</v>
      </c>
      <c r="N57" s="27" t="n">
        <v>0.6</v>
      </c>
      <c r="O57" s="27" t="n">
        <v>0.5</v>
      </c>
      <c r="P57" s="27" t="n">
        <v>0.4</v>
      </c>
      <c r="Q57" s="27" t="inlineStr">
        <is>
          <t>&lt;</t>
        </is>
      </c>
    </row>
    <row r="58" ht="15" customHeight="1">
      <c r="A58" s="2" t="inlineStr">
        <is>
          <t>Current Ratio</t>
        </is>
      </c>
      <c r="B58" s="63">
        <f>+Report!B127</f>
        <v/>
      </c>
      <c r="C58" s="25">
        <f>IF(B58&gt;H58,$H$56,IF(B58&gt;I58,$I$56,IF(B58&gt;J58,$J$56,IF(B58&gt;K58,$K$56,IF(B58&gt;L58,$L$56,IF(B58&gt;M58,$M$56,IF(B58&gt;N58,$N$56,IF(B58&gt;O58,$O$56,IF(B58&gt;P58,$P$56,$Q$56)))))))))</f>
        <v/>
      </c>
      <c r="D58" s="18" t="n">
        <v>0.1</v>
      </c>
      <c r="E58" s="2">
        <f>C58*D58</f>
        <v/>
      </c>
      <c r="F58" s="19">
        <f>E58/$E$75</f>
        <v/>
      </c>
      <c r="G58" s="38" t="n"/>
      <c r="H58" s="27" t="n">
        <v>2</v>
      </c>
      <c r="I58" s="27" t="n">
        <v>1.8</v>
      </c>
      <c r="J58" s="27" t="n">
        <v>1.6</v>
      </c>
      <c r="K58" s="27" t="n">
        <v>1.4</v>
      </c>
      <c r="L58" s="27" t="n">
        <v>1.2</v>
      </c>
      <c r="M58" s="27" t="n">
        <v>1</v>
      </c>
      <c r="N58" s="27" t="n">
        <v>0.9</v>
      </c>
      <c r="O58" s="27" t="n">
        <v>0.8</v>
      </c>
      <c r="P58" s="27" t="n">
        <v>0.7</v>
      </c>
      <c r="Q58" s="27" t="inlineStr">
        <is>
          <t>&lt;</t>
        </is>
      </c>
    </row>
    <row r="59" ht="15" customHeight="1">
      <c r="A59" s="21" t="inlineStr">
        <is>
          <t>Indebitamento e sostenibilità del debito</t>
        </is>
      </c>
      <c r="B59" s="22" t="n"/>
      <c r="C59" s="22" t="n"/>
      <c r="D59" s="23" t="n"/>
      <c r="E59" s="22" t="n"/>
      <c r="F59" s="24" t="n"/>
      <c r="G59" s="38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</row>
    <row r="60" ht="15" customHeight="1">
      <c r="A60" s="2" t="inlineStr">
        <is>
          <t>Rapporto Indebitamento</t>
        </is>
      </c>
      <c r="B60" s="63">
        <f>+Report!B129</f>
        <v/>
      </c>
      <c r="C60" s="25">
        <f>IF(B60&lt;H60,$H$56,IF(B60&lt;I60,$I$56,IF(B60&lt;J60,$J$56,IF(B60&lt;K60,$K$56,IF(B60&lt;L60,$L$56,IF(B60&lt;M60,$M$56,IF(B60&lt;N60,$N$56,IF(B60&lt;O60,$O$56,IF(B60&lt;P60,$P$56,$Q$56)))))))))</f>
        <v/>
      </c>
      <c r="D60" s="18" t="n">
        <v>0.1</v>
      </c>
      <c r="E60" s="2">
        <f>C60*D60</f>
        <v/>
      </c>
      <c r="F60" s="19">
        <f>E60/$E$75</f>
        <v/>
      </c>
      <c r="G60" s="38" t="n"/>
      <c r="H60" s="27" t="n">
        <v>0.2</v>
      </c>
      <c r="I60" s="27" t="n">
        <v>0.4</v>
      </c>
      <c r="J60" s="27" t="n">
        <v>0.6</v>
      </c>
      <c r="K60" s="27" t="n">
        <v>0.8</v>
      </c>
      <c r="L60" s="27" t="n">
        <v>1</v>
      </c>
      <c r="M60" s="39" t="n">
        <v>1.2</v>
      </c>
      <c r="N60" s="27" t="n">
        <v>1.5</v>
      </c>
      <c r="O60" s="27" t="n">
        <v>1.8</v>
      </c>
      <c r="P60" s="27" t="n">
        <v>2</v>
      </c>
      <c r="Q60" s="27" t="inlineStr">
        <is>
          <t>&gt;</t>
        </is>
      </c>
    </row>
    <row r="61" ht="15" customHeight="1">
      <c r="A61" s="2" t="inlineStr">
        <is>
          <t>PFN/EBITDA</t>
        </is>
      </c>
      <c r="B61" s="63">
        <f>+Report!B131</f>
        <v/>
      </c>
      <c r="C61" s="25">
        <f>IF(AND(B61="Non Calcolabile",B19=0),"0",IF(AND(B61="Non Calcolabile",B19&lt;&gt;0),L56,IF(AND(B61&gt;0,Report!B130&gt;0,Report!B136&gt;0),Input!J56,IF(AND(B61&gt;0,Report!B130&lt;0,Report!B136&lt;0),Input!O56,IF(B61&gt;H61,$H$56,IF(B61&gt;I61,$I$56,IF(B61&gt;J61,$J$56,IF(B61&gt;K61,$K$56,IF(B61&gt;L61,$L$56,IF(B61&gt;M61,$M$56,IF(B61&gt;N61,$N$56,IF(B61&gt;O61,$O$56,IF(B61&gt;P61,$P$56,$Q$56)))))))))))))</f>
        <v/>
      </c>
      <c r="D61" s="18" t="n">
        <v>0.15</v>
      </c>
      <c r="E61" s="2">
        <f>C61*D61</f>
        <v/>
      </c>
      <c r="F61" s="19">
        <f>E61/$E$75</f>
        <v/>
      </c>
      <c r="G61" s="38" t="n"/>
      <c r="H61" s="27" t="n">
        <v>2</v>
      </c>
      <c r="I61" s="27" t="n">
        <v>1.5</v>
      </c>
      <c r="J61" s="27" t="n">
        <v>1</v>
      </c>
      <c r="K61" s="27" t="n">
        <v>0.5</v>
      </c>
      <c r="L61" s="40" t="n">
        <v>0</v>
      </c>
      <c r="M61" s="40" t="n">
        <v>-0.5</v>
      </c>
      <c r="N61" s="40" t="n">
        <v>-1</v>
      </c>
      <c r="O61" s="40" t="n">
        <v>-1.5</v>
      </c>
      <c r="P61" s="40" t="n">
        <v>-2</v>
      </c>
      <c r="Q61" s="27" t="inlineStr">
        <is>
          <t>&gt;</t>
        </is>
      </c>
    </row>
    <row r="62" ht="15" customHeight="1">
      <c r="A62" s="2" t="inlineStr">
        <is>
          <t>IMS</t>
        </is>
      </c>
      <c r="B62" s="2">
        <f>+Report!B76/Report!B61</f>
        <v/>
      </c>
      <c r="C62" s="25">
        <f>IF(B62&gt;H62,$H$56,IF(B62&gt;I62,$I$56,IF(B62&gt;J62,$J$56,IF(B62&gt;K62,$K$56,IF(B62&gt;L62,$L$56,IF(B62&gt;M62,$M$56,IF(B62&gt;N62,$N$56,IF(B62&gt;O62,$O$56,IF(B62&gt;P62,$P$56,$Q$56)))))))))</f>
        <v/>
      </c>
      <c r="D62" s="18" t="n">
        <v>0.05</v>
      </c>
      <c r="E62" s="2">
        <f>C62*D62</f>
        <v/>
      </c>
      <c r="F62" s="19">
        <f>E62/$E$75</f>
        <v/>
      </c>
      <c r="G62" s="38" t="n"/>
      <c r="H62" s="27" t="n">
        <v>1.5</v>
      </c>
      <c r="I62" s="27" t="n">
        <v>1.3</v>
      </c>
      <c r="J62" s="27" t="n">
        <v>1.1</v>
      </c>
      <c r="K62" s="27" t="n">
        <v>1</v>
      </c>
      <c r="L62" s="27" t="n">
        <v>0.9</v>
      </c>
      <c r="M62" s="27" t="n">
        <v>0.8</v>
      </c>
      <c r="N62" s="27" t="n">
        <v>0.7</v>
      </c>
      <c r="O62" s="27" t="n">
        <v>0.6</v>
      </c>
      <c r="P62" s="27" t="n">
        <v>0.5</v>
      </c>
      <c r="Q62" s="27" t="inlineStr">
        <is>
          <t>&lt;</t>
        </is>
      </c>
    </row>
    <row r="63" ht="15" customHeight="1">
      <c r="A63" s="2" t="inlineStr">
        <is>
          <t>Interest Coverage Ratio</t>
        </is>
      </c>
      <c r="B63" s="2">
        <f>+Report!B136/Report!B118</f>
        <v/>
      </c>
      <c r="C63" s="25">
        <f>IF(B63=0,H56,IF(B63&gt;H63,$H$56,IF(B63&gt;I63,$I$56,IF(B63&gt;J63,$J$56,IF(B63&gt;K63,$K$56,IF(B63&gt;L63,$L$56,IF(B63&gt;M63,$M$56,IF(B63&gt;N63,$N$56,IF(B63&gt;O63,$O$56,IF(B63&gt;P63,$P$56,$Q$56))))))))))</f>
        <v/>
      </c>
      <c r="D63" s="18" t="n">
        <v>0.1</v>
      </c>
      <c r="E63" s="2">
        <f>C63*D63</f>
        <v/>
      </c>
      <c r="F63" s="19">
        <f>E63/$E$75</f>
        <v/>
      </c>
      <c r="G63" s="38" t="n"/>
      <c r="H63" s="27" t="n">
        <v>10</v>
      </c>
      <c r="I63" s="27" t="n">
        <v>8</v>
      </c>
      <c r="J63" s="27" t="n">
        <v>6</v>
      </c>
      <c r="K63" s="27" t="n">
        <v>4</v>
      </c>
      <c r="L63" s="27" t="n">
        <v>2.5</v>
      </c>
      <c r="M63" s="27" t="n">
        <v>1.5</v>
      </c>
      <c r="N63" s="27" t="n">
        <v>1.2</v>
      </c>
      <c r="O63" s="27" t="n">
        <v>1</v>
      </c>
      <c r="P63" s="27" t="n">
        <v>0.8</v>
      </c>
      <c r="Q63" s="27" t="inlineStr">
        <is>
          <t>&lt;</t>
        </is>
      </c>
    </row>
    <row r="64" ht="15" customHeight="1">
      <c r="A64" s="21" t="inlineStr">
        <is>
          <t>Redditività</t>
        </is>
      </c>
      <c r="B64" s="22" t="n"/>
      <c r="C64" s="22" t="n"/>
      <c r="D64" s="23" t="n"/>
      <c r="E64" s="22" t="n"/>
      <c r="F64" s="24" t="n"/>
      <c r="G64" s="38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</row>
    <row r="65" ht="15" customHeight="1">
      <c r="A65" s="2" t="inlineStr">
        <is>
          <t>ROS</t>
        </is>
      </c>
      <c r="B65" s="19">
        <f>+Report!B133</f>
        <v/>
      </c>
      <c r="C65" s="25">
        <f>IF(B65&gt;H65,$H$56,IF(B65&gt;I65,$I$56,IF(B65&gt;J65,$J$56,IF(B65&gt;K65,$K$56,IF(B65&gt;L65,$L$56,IF(B65&gt;M65,$M$56,IF(B65&gt;N65,$N$56,IF(B65&gt;O65,$O$56,IF(B65&gt;P65,$P$56,$Q$56)))))))))</f>
        <v/>
      </c>
      <c r="D65" s="18" t="n">
        <v>0.1</v>
      </c>
      <c r="E65" s="2">
        <f>C65*D65</f>
        <v/>
      </c>
      <c r="F65" s="19">
        <f>E65/$E$75</f>
        <v/>
      </c>
      <c r="G65" s="38" t="n"/>
      <c r="H65" s="41" t="n">
        <v>0.2</v>
      </c>
      <c r="I65" s="41" t="n">
        <v>0.13</v>
      </c>
      <c r="J65" s="41" t="n">
        <v>0.11</v>
      </c>
      <c r="K65" s="41" t="n">
        <v>0.09</v>
      </c>
      <c r="L65" s="41" t="n">
        <v>0.07000000000000001</v>
      </c>
      <c r="M65" s="41" t="n">
        <v>0.05</v>
      </c>
      <c r="N65" s="41" t="n">
        <v>0.03</v>
      </c>
      <c r="O65" s="41" t="n">
        <v>0.01</v>
      </c>
      <c r="P65" s="41" t="n">
        <v>0</v>
      </c>
      <c r="Q65" s="41" t="inlineStr">
        <is>
          <t>&lt;</t>
        </is>
      </c>
    </row>
    <row r="66" ht="15" customHeight="1">
      <c r="A66" s="2" t="inlineStr">
        <is>
          <t>ROE</t>
        </is>
      </c>
      <c r="B66" s="19">
        <f>+Report!B134</f>
        <v/>
      </c>
      <c r="C66" s="25">
        <f>IF(B66&gt;H66,$H$56,IF(B66&gt;I66,$I$56,IF(B66&gt;J66,$J$56,IF(B66&gt;K66,$K$56,IF(B66&gt;L66,$L$56,IF(B66&gt;M66,$M$56,IF(B66&gt;N66,$N$56,IF(B66&gt;O66,$O$56,IF(B66&gt;P66,$P$56,$Q$56)))))))))</f>
        <v/>
      </c>
      <c r="D66" s="18" t="n">
        <v>0.05</v>
      </c>
      <c r="E66" s="2">
        <f>C66*D66</f>
        <v/>
      </c>
      <c r="F66" s="19">
        <f>E66/$E$75</f>
        <v/>
      </c>
      <c r="G66" s="38" t="n"/>
      <c r="H66" s="41" t="n">
        <v>0.25</v>
      </c>
      <c r="I66" s="41" t="n">
        <v>0.2</v>
      </c>
      <c r="J66" s="41" t="n">
        <v>0.15</v>
      </c>
      <c r="K66" s="41" t="n">
        <v>0.12</v>
      </c>
      <c r="L66" s="41" t="n">
        <v>0.1</v>
      </c>
      <c r="M66" s="41" t="n">
        <v>0.08</v>
      </c>
      <c r="N66" s="41" t="n">
        <v>0.06</v>
      </c>
      <c r="O66" s="41" t="n">
        <v>0.04</v>
      </c>
      <c r="P66" s="41" t="n">
        <v>0.02</v>
      </c>
      <c r="Q66" s="41" t="inlineStr">
        <is>
          <t>&lt;</t>
        </is>
      </c>
    </row>
    <row r="67" ht="15" customHeight="1">
      <c r="A67" s="2" t="inlineStr">
        <is>
          <t>ROI</t>
        </is>
      </c>
      <c r="B67" s="19">
        <f>+Report!B135</f>
        <v/>
      </c>
      <c r="C67" s="25">
        <f>IF(B67&gt;H67,$H$56,IF(B67&gt;I67,$I$56,IF(B67&gt;J67,$J$56,IF(B67&gt;K67,$K$56,IF(B67&gt;L67,$L$56,IF(B67&gt;M67,$M$56,IF(B67&gt;N67,$N$56,IF(B67&gt;O67,$O$56,IF(B67&gt;P67,$P$56,$Q$56)))))))))</f>
        <v/>
      </c>
      <c r="D67" s="18" t="n">
        <v>0.05</v>
      </c>
      <c r="E67" s="2">
        <f>C67*D67</f>
        <v/>
      </c>
      <c r="F67" s="19">
        <f>E67/$E$75</f>
        <v/>
      </c>
      <c r="G67" s="38" t="n"/>
      <c r="H67" s="41" t="n">
        <v>0.25</v>
      </c>
      <c r="I67" s="41" t="n">
        <v>0.2</v>
      </c>
      <c r="J67" s="41" t="n">
        <v>0.15</v>
      </c>
      <c r="K67" s="41" t="n">
        <v>0.12</v>
      </c>
      <c r="L67" s="41" t="n">
        <v>0.1</v>
      </c>
      <c r="M67" s="41" t="n">
        <v>0.08</v>
      </c>
      <c r="N67" s="41" t="n">
        <v>0.06</v>
      </c>
      <c r="O67" s="41" t="n">
        <v>0.04</v>
      </c>
      <c r="P67" s="41" t="n">
        <v>0.02</v>
      </c>
      <c r="Q67" s="41" t="inlineStr">
        <is>
          <t>&lt;</t>
        </is>
      </c>
    </row>
    <row r="68" ht="15" customHeight="1">
      <c r="A68" s="2" t="inlineStr">
        <is>
          <t>EBITDA%</t>
        </is>
      </c>
      <c r="B68" s="19">
        <f>+Report!B136/Report!B98</f>
        <v/>
      </c>
      <c r="C68" s="25">
        <f>IF(B68&gt;H68,$H$56,IF(B68&gt;I68,$I$56,IF(B68&gt;J68,$J$56,IF(B68&gt;K68,$K$56,IF(B68&gt;L68,$L$56,IF(B68&gt;M68,$M$56,IF(B68&gt;N68,$N$56,IF(B68&gt;O68,$O$56,IF(B68&gt;P68,$P$56,$Q$56)))))))))</f>
        <v/>
      </c>
      <c r="D68" s="18" t="n">
        <v>0.1</v>
      </c>
      <c r="E68" s="2">
        <f>C68*D68</f>
        <v/>
      </c>
      <c r="F68" s="19">
        <f>E68/$E$75</f>
        <v/>
      </c>
      <c r="G68" s="38" t="n"/>
      <c r="H68" s="41" t="n">
        <v>0.15</v>
      </c>
      <c r="I68" s="41" t="n">
        <v>0.13</v>
      </c>
      <c r="J68" s="41" t="n">
        <v>0.1</v>
      </c>
      <c r="K68" s="41" t="n">
        <v>0.08</v>
      </c>
      <c r="L68" s="41" t="n">
        <v>0.06</v>
      </c>
      <c r="M68" s="41" t="n">
        <v>0.04</v>
      </c>
      <c r="N68" s="41" t="n">
        <v>0.02</v>
      </c>
      <c r="O68" s="41" t="n">
        <v>0.01</v>
      </c>
      <c r="P68" s="41" t="n">
        <v>0</v>
      </c>
      <c r="Q68" s="41" t="inlineStr">
        <is>
          <t>&lt;</t>
        </is>
      </c>
    </row>
    <row r="69" ht="15" customHeight="1">
      <c r="A69" s="2" t="inlineStr">
        <is>
          <t>EBIT%</t>
        </is>
      </c>
      <c r="B69" s="19">
        <f>+Report!B116</f>
        <v/>
      </c>
      <c r="C69" s="25">
        <f>IF(B69&gt;H69,$H$56,IF(B69&gt;I69,$I$56,IF(B69&gt;J69,$J$56,IF(B69&gt;K69,$K$56,IF(B69&gt;L69,$L$56,IF(B69&gt;M69,$M$56,IF(B69&gt;N69,$N$56,IF(B69&gt;O69,$O$56,IF(B69&gt;P69,$P$56,$Q$56)))))))))</f>
        <v/>
      </c>
      <c r="D69" s="18" t="n">
        <v>0.05</v>
      </c>
      <c r="E69" s="2">
        <f>C69*D69</f>
        <v/>
      </c>
      <c r="F69" s="19">
        <f>E69/$E$75</f>
        <v/>
      </c>
      <c r="G69" s="38" t="n"/>
      <c r="H69" s="41" t="n">
        <v>0.13</v>
      </c>
      <c r="I69" s="41" t="n">
        <v>0.11</v>
      </c>
      <c r="J69" s="41" t="n">
        <v>0.1</v>
      </c>
      <c r="K69" s="41" t="n">
        <v>0.08</v>
      </c>
      <c r="L69" s="41" t="n">
        <v>0.06</v>
      </c>
      <c r="M69" s="41" t="n">
        <v>0.04</v>
      </c>
      <c r="N69" s="41" t="n">
        <v>0.02</v>
      </c>
      <c r="O69" s="41" t="n">
        <v>0</v>
      </c>
      <c r="P69" s="41" t="n">
        <v>-0.02</v>
      </c>
      <c r="Q69" s="41" t="inlineStr">
        <is>
          <t>&lt;</t>
        </is>
      </c>
    </row>
    <row r="70" ht="15" customHeight="1">
      <c r="A70" s="2" t="inlineStr">
        <is>
          <t>Risultato d'esercizio%</t>
        </is>
      </c>
      <c r="B70" s="19">
        <f>+Report!B119/Report!B98</f>
        <v/>
      </c>
      <c r="C70" s="25">
        <f>IF(B70&gt;H70,$H$56,IF(B70&gt;I70,$I$56,IF(B70&gt;J70,$J$56,IF(B70&gt;K70,$K$56,IF(B70&gt;L70,$L$56,IF(B70&gt;M70,$M$56,IF(B70&gt;N70,$N$56,IF(B70&gt;O70,$O$56,IF(B70&gt;P70,$P$56,$Q$56)))))))))</f>
        <v/>
      </c>
      <c r="D70" s="18" t="n">
        <v>0.025</v>
      </c>
      <c r="E70" s="2">
        <f>C70*D70</f>
        <v/>
      </c>
      <c r="F70" s="19">
        <f>E70/$E$75</f>
        <v/>
      </c>
      <c r="G70" s="38" t="n"/>
      <c r="H70" s="41" t="n">
        <v>0.1</v>
      </c>
      <c r="I70" s="41" t="n">
        <v>0.08</v>
      </c>
      <c r="J70" s="41" t="n">
        <v>0.06</v>
      </c>
      <c r="K70" s="41" t="n">
        <v>0.04</v>
      </c>
      <c r="L70" s="41" t="n">
        <v>0.02</v>
      </c>
      <c r="M70" s="41" t="n">
        <v>0.01</v>
      </c>
      <c r="N70" s="41" t="n">
        <v>0</v>
      </c>
      <c r="O70" s="41" t="n">
        <v>-0.03</v>
      </c>
      <c r="P70" s="41" t="n">
        <v>-0.05</v>
      </c>
      <c r="Q70" s="41" t="inlineStr">
        <is>
          <t>&lt;</t>
        </is>
      </c>
    </row>
    <row r="71" ht="15" customHeight="1">
      <c r="A71" s="21" t="inlineStr">
        <is>
          <t>Efficienza</t>
        </is>
      </c>
      <c r="B71" s="22" t="n"/>
      <c r="C71" s="22" t="n"/>
      <c r="D71" s="23" t="n"/>
      <c r="E71" s="22" t="n"/>
      <c r="F71" s="24" t="n"/>
      <c r="G71" s="38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</row>
    <row r="72" ht="15" customHeight="1">
      <c r="A72" s="2" t="inlineStr">
        <is>
          <t>Asset Turnover (AT)</t>
        </is>
      </c>
      <c r="B72" s="63">
        <f>+Report!B138</f>
        <v/>
      </c>
      <c r="C72" s="25">
        <f>IF(B72&gt;H72,$H$56,IF(B72&gt;I72,$I$56,IF(B72&gt;J72,$J$56,IF(B72&gt;K72,$K$56,IF(B72&gt;L72,$L$56,IF(B72&gt;M72,$M$56,IF(B72&gt;N72,$N$56,IF(B72&gt;O72,$O$56,IF(B72&gt;P72,$P$56,$Q$56)))))))))</f>
        <v/>
      </c>
      <c r="D72" s="18" t="n">
        <v>0.025</v>
      </c>
      <c r="E72" s="2">
        <f>C72*D72</f>
        <v/>
      </c>
      <c r="F72" s="19">
        <f>E72/$E$75</f>
        <v/>
      </c>
      <c r="G72" s="38" t="n"/>
      <c r="H72" s="27" t="n">
        <v>2</v>
      </c>
      <c r="I72" s="27" t="n">
        <v>1.8</v>
      </c>
      <c r="J72" s="27" t="n">
        <v>1.6</v>
      </c>
      <c r="K72" s="27" t="n">
        <v>1.4</v>
      </c>
      <c r="L72" s="27" t="n">
        <v>1.2</v>
      </c>
      <c r="M72" s="27" t="n">
        <v>1</v>
      </c>
      <c r="N72" s="27" t="n">
        <v>0.9</v>
      </c>
      <c r="O72" s="27" t="n">
        <v>0.8</v>
      </c>
      <c r="P72" s="27" t="n">
        <v>0.7</v>
      </c>
      <c r="Q72" s="27" t="inlineStr">
        <is>
          <t>&lt;</t>
        </is>
      </c>
    </row>
    <row r="73" ht="16" customHeight="1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 ht="16" customHeight="1" thickBot="1">
      <c r="A74" s="2" t="n"/>
      <c r="B74" s="2" t="n"/>
      <c r="C74" s="2" t="n"/>
      <c r="D74" s="2" t="n"/>
      <c r="E74" s="42" t="inlineStr">
        <is>
          <t>Grade</t>
        </is>
      </c>
      <c r="F74" s="2" t="n"/>
      <c r="G74" s="43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 ht="16" customHeight="1" thickBot="1">
      <c r="A75" s="2" t="n"/>
      <c r="B75" s="2" t="n"/>
      <c r="C75" s="2" t="n"/>
      <c r="D75" s="2" t="n"/>
      <c r="E75" s="44">
        <f>AVERAGE(C57:C72)</f>
        <v/>
      </c>
      <c r="F75" s="2" t="n"/>
      <c r="G75" s="2" t="n"/>
      <c r="Q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 ht="15" customHeight="1">
      <c r="A78" s="2" t="n"/>
      <c r="B78" s="2" t="n"/>
      <c r="C78" s="2" t="n"/>
      <c r="D78" s="2" t="n"/>
      <c r="E78" s="45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 ht="16" customHeight="1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 ht="16" customHeight="1" thickBot="1">
      <c r="A81" s="2" t="n"/>
      <c r="B81" s="46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8" t="n"/>
      <c r="M81" s="2" t="n"/>
      <c r="N81" s="2" t="n"/>
      <c r="O81" s="2" t="n"/>
      <c r="P81" s="2" t="n"/>
      <c r="Q81" s="2" t="n"/>
    </row>
    <row r="82" ht="16" customHeight="1" thickBot="1">
      <c r="A82" s="2" t="n"/>
      <c r="B82" s="49" t="n"/>
      <c r="C82" s="50" t="inlineStr">
        <is>
          <t>Grade</t>
        </is>
      </c>
      <c r="D82" s="50" t="inlineStr">
        <is>
          <t>Fido Massimo</t>
        </is>
      </c>
      <c r="E82" s="2" t="n"/>
      <c r="F82" s="2" t="n"/>
      <c r="G82" s="2" t="n"/>
      <c r="H82" s="2" t="n"/>
      <c r="I82" s="2" t="n"/>
      <c r="J82" s="2" t="n"/>
      <c r="K82" s="2" t="n"/>
      <c r="L82" s="51" t="n"/>
      <c r="M82" s="2" t="n"/>
      <c r="N82" s="2" t="n"/>
      <c r="O82" s="2" t="n"/>
      <c r="P82" s="2" t="n"/>
      <c r="Q82" s="2" t="n"/>
    </row>
    <row r="83" ht="16" customHeight="1" thickBot="1">
      <c r="A83" s="1" t="n"/>
      <c r="B83" s="52" t="n"/>
      <c r="C83" s="53">
        <f>IF(I92="Microimpresa",ROUND(E75,0)+2,IF(I92="Piccola impresa",ROUND(E75,0)+1,IF(I92="Media impresa",ROUND(E75+0.5,0),IF(I92="Grande impresa",ROUND(E75,0)))))</f>
        <v/>
      </c>
      <c r="D83" s="54">
        <f>INDEX($H$95:$H$104,MATCH(C83,$G$95:$G$104,0))*INDEX($K$84:$K$87,MATCH(I92,$G$84:$G$87,0))</f>
        <v/>
      </c>
      <c r="E83" s="2" t="n"/>
      <c r="F83" s="2" t="n"/>
      <c r="G83" s="55" t="inlineStr">
        <is>
          <t>Categoria</t>
        </is>
      </c>
      <c r="H83" s="55" t="inlineStr">
        <is>
          <t>Totale dello Stato Patrimoniale (€)</t>
        </is>
      </c>
      <c r="I83" s="55" t="inlineStr">
        <is>
          <t>Ricavi Netti delle Vendite e delle Prestazioni (€)</t>
        </is>
      </c>
      <c r="J83" s="55" t="inlineStr">
        <is>
          <t>Numero Medio dei Dipendenti</t>
        </is>
      </c>
      <c r="K83" s="55" t="inlineStr">
        <is>
          <t>Ponderazione Dimensione Impresa</t>
        </is>
      </c>
      <c r="L83" s="51" t="n"/>
      <c r="M83" s="2" t="n"/>
      <c r="N83" s="2" t="n"/>
      <c r="O83" s="2" t="n"/>
      <c r="P83" s="2" t="n"/>
      <c r="Q83" s="2" t="n"/>
    </row>
    <row r="84" ht="16" customHeight="1" thickBot="1">
      <c r="A84" s="2" t="n"/>
      <c r="B84" s="52" t="n"/>
      <c r="C84" s="2" t="n"/>
      <c r="D84" s="2" t="n"/>
      <c r="E84" s="2" t="n"/>
      <c r="F84" s="2" t="n">
        <v>1</v>
      </c>
      <c r="G84" s="2" t="inlineStr">
        <is>
          <t>Microimpresa</t>
        </is>
      </c>
      <c r="H84" s="29" t="n">
        <v>450000</v>
      </c>
      <c r="I84" s="29" t="n">
        <v>900000</v>
      </c>
      <c r="J84" s="26" t="n">
        <v>10</v>
      </c>
      <c r="K84" s="2" t="n">
        <v>0.1</v>
      </c>
      <c r="L84" s="51" t="n"/>
      <c r="M84" s="2" t="n"/>
      <c r="N84" s="2" t="n"/>
      <c r="O84" s="2" t="n"/>
      <c r="P84" s="2" t="n"/>
      <c r="Q84" s="2" t="n"/>
    </row>
    <row r="85" ht="16" customHeight="1" thickBot="1">
      <c r="A85" s="2" t="n"/>
      <c r="B85" s="52" t="n"/>
      <c r="C85" s="2" t="n"/>
      <c r="D85" s="56">
        <f>"0 € - "&amp;TEXT(D83,"#.##0")&amp;" €"</f>
        <v/>
      </c>
      <c r="E85" s="2" t="n"/>
      <c r="F85" s="2" t="n">
        <v>2</v>
      </c>
      <c r="G85" s="2" t="inlineStr">
        <is>
          <t>Piccola impresa</t>
        </is>
      </c>
      <c r="H85" s="29" t="n">
        <v>5000000</v>
      </c>
      <c r="I85" s="29" t="n">
        <v>10000000</v>
      </c>
      <c r="J85" s="26" t="n">
        <v>50</v>
      </c>
      <c r="K85" s="2" t="n">
        <v>0.2</v>
      </c>
      <c r="L85" s="51" t="n"/>
      <c r="M85" s="2" t="n"/>
      <c r="N85" s="2" t="n"/>
      <c r="O85" s="2" t="n"/>
      <c r="P85" s="2" t="n"/>
      <c r="Q85" s="2" t="n"/>
    </row>
    <row r="86" ht="15" customHeight="1">
      <c r="A86" s="2" t="n"/>
      <c r="B86" s="52" t="n"/>
      <c r="C86" s="2" t="n"/>
      <c r="D86" s="2" t="n"/>
      <c r="E86" s="2" t="n"/>
      <c r="F86" s="2" t="n">
        <v>3</v>
      </c>
      <c r="G86" s="2" t="inlineStr">
        <is>
          <t>Media impresa</t>
        </is>
      </c>
      <c r="H86" s="29" t="n">
        <v>25000000</v>
      </c>
      <c r="I86" s="29" t="n">
        <v>50000000</v>
      </c>
      <c r="J86" s="26" t="n">
        <v>250</v>
      </c>
      <c r="K86" s="2" t="n">
        <v>0.3</v>
      </c>
      <c r="L86" s="51" t="n"/>
      <c r="M86" s="2" t="n"/>
      <c r="N86" s="2" t="n"/>
      <c r="O86" s="2" t="n"/>
      <c r="P86" s="2" t="n"/>
      <c r="Q86" s="2" t="n"/>
    </row>
    <row r="87" ht="15" customHeight="1">
      <c r="A87" s="2" t="n"/>
      <c r="B87" s="52" t="n"/>
      <c r="C87" s="2" t="n"/>
      <c r="D87" s="2" t="n"/>
      <c r="E87" s="2" t="n"/>
      <c r="F87" s="2" t="n">
        <v>4</v>
      </c>
      <c r="G87" s="22" t="inlineStr">
        <is>
          <t>Grande impresa</t>
        </is>
      </c>
      <c r="H87" s="30" t="n">
        <v>25000000</v>
      </c>
      <c r="I87" s="30" t="n">
        <v>50000000</v>
      </c>
      <c r="J87" s="31" t="n">
        <v>250</v>
      </c>
      <c r="K87" s="2" t="n">
        <v>0.5</v>
      </c>
      <c r="L87" s="51" t="n"/>
      <c r="M87" s="2" t="n"/>
      <c r="N87" s="2" t="n"/>
      <c r="O87" s="2" t="n"/>
      <c r="P87" s="2" t="n"/>
      <c r="Q87" s="2" t="n"/>
    </row>
    <row r="88" ht="15" customHeight="1">
      <c r="A88" s="1" t="n"/>
      <c r="B88" s="57" t="n"/>
      <c r="C88" s="20" t="n"/>
      <c r="D88" s="2" t="n"/>
      <c r="E88" s="2" t="n"/>
      <c r="F88" s="2" t="n"/>
      <c r="G88" s="2" t="n"/>
      <c r="H88" s="32">
        <f>+B33</f>
        <v/>
      </c>
      <c r="I88" s="32">
        <f>B8</f>
        <v/>
      </c>
      <c r="J88" s="33">
        <f>$B$21</f>
        <v/>
      </c>
      <c r="K88" s="2" t="n"/>
      <c r="L88" s="51" t="n"/>
      <c r="M88" s="2" t="n"/>
      <c r="N88" s="2" t="n"/>
      <c r="O88" s="2" t="n"/>
      <c r="P88" s="2" t="n"/>
      <c r="Q88" s="2" t="n"/>
    </row>
    <row r="89" ht="15" customHeight="1">
      <c r="A89" s="2" t="n"/>
      <c r="B89" s="57" t="n"/>
      <c r="C89" s="20" t="n"/>
      <c r="D89" s="2" t="n"/>
      <c r="E89" s="2" t="n"/>
      <c r="F89" s="2" t="n"/>
      <c r="G89" s="2" t="n"/>
      <c r="H89" s="28">
        <f>IF(H88&lt;=H84,$G$84,IF(AND(H88&lt;=H85,H88&gt;H84),$G$85,IF(AND(H88&lt;=H86,H88&gt;H85),$G$86,IF(H88&gt;H86,$G$87))))</f>
        <v/>
      </c>
      <c r="I89" s="28">
        <f>IF(I88&lt;=I84,$G$84,IF(AND(I88&lt;=I85,I88&gt;I84),$G$85,IF(AND(I88&lt;=I86,I88&gt;I85),$G$86,IF(I88&gt;I86,$G$87))))</f>
        <v/>
      </c>
      <c r="J89" s="28">
        <f>IF(J88&lt;=J84,$G$84,IF(AND(J88&lt;=J85,J88&gt;J84),$G$85,IF(AND(J88&lt;=J86,J88&gt;J85),$G$86,IF(J88&gt;J86,$G$87))))</f>
        <v/>
      </c>
      <c r="K89" s="2" t="n"/>
      <c r="L89" s="51" t="n"/>
      <c r="M89" s="2" t="n"/>
      <c r="N89" s="2" t="n"/>
      <c r="O89" s="2" t="n"/>
      <c r="P89" s="2" t="n"/>
      <c r="Q89" s="2" t="n"/>
    </row>
    <row r="90" ht="15" customHeight="1">
      <c r="A90" s="2" t="n"/>
      <c r="B90" s="57" t="n"/>
      <c r="C90" s="20" t="n"/>
      <c r="D90" s="2" t="n"/>
      <c r="E90" s="2" t="n"/>
      <c r="F90" s="2" t="n"/>
      <c r="G90" s="2" t="n"/>
      <c r="H90" s="27">
        <f>INDEX($F$84:$F$87,MATCH(H89,$G$84:$G$87,0))</f>
        <v/>
      </c>
      <c r="I90" s="27">
        <f>INDEX($F$84:$F$87,MATCH(I89,$G$84:$G$87,0))</f>
        <v/>
      </c>
      <c r="J90" s="27">
        <f>INDEX($F$84:$F$87,MATCH(J89,$G$84:$G$87,0))</f>
        <v/>
      </c>
      <c r="K90" s="2" t="n"/>
      <c r="L90" s="51" t="n"/>
      <c r="M90" s="2" t="n"/>
      <c r="N90" s="2" t="n"/>
      <c r="O90" s="2" t="n"/>
      <c r="P90" s="2" t="n"/>
      <c r="Q90" s="2" t="n"/>
    </row>
    <row r="91" ht="16" customHeight="1" thickBot="1">
      <c r="A91" s="2" t="n"/>
      <c r="B91" s="57" t="n"/>
      <c r="C91" s="20" t="n"/>
      <c r="D91" s="2" t="n"/>
      <c r="E91" s="2" t="n"/>
      <c r="F91" s="2" t="n"/>
      <c r="G91" s="2" t="n"/>
      <c r="H91" s="2" t="n"/>
      <c r="I91" s="58">
        <f>_xlfn.MODE.SNGL(H90:J90)</f>
        <v/>
      </c>
      <c r="J91" s="2" t="n"/>
      <c r="K91" s="2" t="n"/>
      <c r="L91" s="51" t="n"/>
      <c r="M91" s="2" t="n"/>
      <c r="N91" s="2" t="n"/>
      <c r="O91" s="2" t="n"/>
      <c r="P91" s="2" t="n"/>
      <c r="Q91" s="2" t="n"/>
    </row>
    <row r="92" ht="16" customHeight="1" thickBot="1">
      <c r="A92" s="2" t="n"/>
      <c r="B92" s="52" t="n"/>
      <c r="C92" s="2" t="n"/>
      <c r="D92" s="2" t="n"/>
      <c r="E92" s="2" t="n"/>
      <c r="F92" s="2" t="n"/>
      <c r="G92" s="2" t="n"/>
      <c r="H92" s="2" t="n"/>
      <c r="I92" s="50">
        <f>IFERROR(INDEX(G84:G87,MATCH(I91,$F$84:$F$87,0)),INDEX($G$84:$G$87,MATCH(MEDIAN(H90:J90),$F$84:$F$87,0)))</f>
        <v/>
      </c>
      <c r="J92" s="2" t="n"/>
      <c r="K92" s="2" t="n"/>
      <c r="L92" s="51" t="n"/>
      <c r="M92" s="2" t="n"/>
      <c r="N92" s="2" t="n"/>
      <c r="O92" s="2" t="n"/>
      <c r="P92" s="2" t="n"/>
      <c r="Q92" s="2" t="n"/>
    </row>
    <row r="93" ht="16" customHeight="1" thickBot="1">
      <c r="A93" s="2" t="n"/>
      <c r="B93" s="5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51" t="n"/>
      <c r="M93" s="2" t="n"/>
      <c r="N93" s="2" t="n"/>
      <c r="O93" s="2" t="n"/>
      <c r="P93" s="2" t="n"/>
      <c r="Q93" s="2" t="n"/>
    </row>
    <row r="94" ht="16" customHeight="1" thickBot="1">
      <c r="A94" s="2" t="n"/>
      <c r="B94" s="52" t="n"/>
      <c r="C94" s="2" t="n"/>
      <c r="D94" s="2" t="n"/>
      <c r="E94" s="2" t="n"/>
      <c r="F94" s="2" t="n"/>
      <c r="G94" s="59" t="inlineStr">
        <is>
          <t>Grade</t>
        </is>
      </c>
      <c r="H94" s="50" t="inlineStr">
        <is>
          <t>Max</t>
        </is>
      </c>
      <c r="I94" s="2" t="n"/>
      <c r="J94" s="2" t="n"/>
      <c r="K94" s="2" t="n"/>
      <c r="L94" s="51" t="n"/>
      <c r="M94" s="2" t="n"/>
      <c r="N94" s="2" t="n"/>
      <c r="O94" s="2" t="n"/>
      <c r="P94" s="2" t="n"/>
      <c r="Q94" s="2" t="n"/>
    </row>
    <row r="95" ht="16" customHeight="1" thickBot="1">
      <c r="A95" s="1" t="n"/>
      <c r="B95" s="52" t="n"/>
      <c r="C95" s="2" t="n"/>
      <c r="D95" s="2" t="n"/>
      <c r="E95" s="2" t="n"/>
      <c r="F95" s="2" t="n"/>
      <c r="G95" s="34" t="n">
        <v>1</v>
      </c>
      <c r="H95" s="60" t="n">
        <v>1000000</v>
      </c>
      <c r="I95" s="2" t="n"/>
      <c r="J95" s="2" t="n"/>
      <c r="K95" s="2" t="n"/>
      <c r="L95" s="51" t="n"/>
      <c r="M95" s="2" t="n"/>
      <c r="N95" s="2" t="n"/>
      <c r="O95" s="2" t="n"/>
      <c r="P95" s="2" t="n"/>
      <c r="Q95" s="2" t="n"/>
    </row>
    <row r="96" ht="16" customHeight="1" thickBot="1">
      <c r="A96" s="2" t="n"/>
      <c r="B96" s="52" t="n"/>
      <c r="C96" s="2" t="n"/>
      <c r="D96" s="2" t="n"/>
      <c r="E96" s="2" t="n"/>
      <c r="F96" s="2" t="n"/>
      <c r="G96" s="34" t="n">
        <v>2</v>
      </c>
      <c r="H96" s="60" t="n">
        <v>1000000</v>
      </c>
      <c r="I96" s="2" t="n"/>
      <c r="J96" s="2" t="n"/>
      <c r="K96" s="2" t="n"/>
      <c r="L96" s="51" t="n"/>
      <c r="M96" s="2" t="n"/>
      <c r="N96" s="2" t="n"/>
      <c r="O96" s="2" t="n"/>
      <c r="P96" s="2" t="n"/>
      <c r="Q96" s="2" t="n"/>
    </row>
    <row r="97" ht="16" customHeight="1" thickBot="1">
      <c r="A97" s="2" t="n"/>
      <c r="B97" s="52" t="n"/>
      <c r="C97" s="2" t="n"/>
      <c r="D97" s="2" t="n"/>
      <c r="E97" s="2" t="n"/>
      <c r="F97" s="2" t="n"/>
      <c r="G97" s="34" t="n">
        <v>3</v>
      </c>
      <c r="H97" s="60" t="n">
        <v>1000000</v>
      </c>
      <c r="I97" s="2" t="n"/>
      <c r="J97" s="2" t="n"/>
      <c r="K97" s="2" t="n"/>
      <c r="L97" s="51" t="n"/>
      <c r="M97" s="2" t="n"/>
      <c r="N97" s="2" t="n"/>
      <c r="O97" s="2" t="n"/>
      <c r="P97" s="2" t="n"/>
      <c r="Q97" s="2" t="n"/>
    </row>
    <row r="98" ht="16" customHeight="1" thickBot="1">
      <c r="A98" s="2" t="n"/>
      <c r="B98" s="52" t="n"/>
      <c r="C98" s="2" t="n"/>
      <c r="D98" s="2" t="n"/>
      <c r="E98" s="2" t="n"/>
      <c r="F98" s="2" t="n"/>
      <c r="G98" s="35" t="n">
        <v>4</v>
      </c>
      <c r="H98" s="60" t="n">
        <v>800000</v>
      </c>
      <c r="I98" s="2" t="n"/>
      <c r="J98" s="2" t="n"/>
      <c r="K98" s="2" t="n"/>
      <c r="L98" s="51" t="n"/>
      <c r="M98" s="2" t="n"/>
      <c r="N98" s="2" t="n"/>
      <c r="O98" s="2" t="n"/>
      <c r="P98" s="2" t="n"/>
      <c r="Q98" s="2" t="n"/>
    </row>
    <row r="99" ht="16" customHeight="1" thickBot="1">
      <c r="A99" s="2" t="n"/>
      <c r="B99" s="52" t="n"/>
      <c r="C99" s="2" t="n"/>
      <c r="D99" s="2" t="n"/>
      <c r="E99" s="2" t="n"/>
      <c r="F99" s="2" t="n"/>
      <c r="G99" s="35" t="n">
        <v>5</v>
      </c>
      <c r="H99" s="60" t="n">
        <v>350000</v>
      </c>
      <c r="I99" s="2" t="n"/>
      <c r="J99" s="2" t="n"/>
      <c r="K99" s="2" t="n"/>
      <c r="L99" s="51" t="n"/>
      <c r="M99" s="2" t="n"/>
      <c r="N99" s="2" t="n"/>
      <c r="O99" s="2" t="n"/>
      <c r="P99" s="2" t="n"/>
      <c r="Q99" s="2" t="n"/>
    </row>
    <row r="100" ht="16" customHeight="1" thickBot="1">
      <c r="A100" s="2" t="n"/>
      <c r="B100" s="52" t="n"/>
      <c r="C100" s="2" t="n"/>
      <c r="D100" s="2" t="n"/>
      <c r="E100" s="2" t="n"/>
      <c r="F100" s="2" t="n"/>
      <c r="G100" s="35" t="n">
        <v>6</v>
      </c>
      <c r="H100" s="60" t="n">
        <v>200000</v>
      </c>
      <c r="I100" s="2" t="n"/>
      <c r="J100" s="2" t="n"/>
      <c r="K100" s="2" t="n"/>
      <c r="L100" s="51" t="n"/>
      <c r="M100" s="2" t="n"/>
      <c r="N100" s="2" t="n"/>
      <c r="O100" s="2" t="n"/>
      <c r="P100" s="2" t="n"/>
      <c r="Q100" s="2" t="n"/>
    </row>
    <row r="101" ht="16" customHeight="1" thickBot="1">
      <c r="A101" s="2" t="n"/>
      <c r="B101" s="52" t="n"/>
      <c r="C101" s="2" t="n"/>
      <c r="D101" s="2" t="n"/>
      <c r="E101" s="2" t="n"/>
      <c r="F101" s="2" t="n"/>
      <c r="G101" s="36" t="n">
        <v>7</v>
      </c>
      <c r="H101" s="60" t="n">
        <v>50000</v>
      </c>
      <c r="I101" s="2" t="n"/>
      <c r="J101" s="2" t="n"/>
      <c r="K101" s="2" t="n"/>
      <c r="L101" s="51" t="n"/>
      <c r="M101" s="2" t="n"/>
      <c r="N101" s="2" t="n"/>
      <c r="O101" s="2" t="n"/>
      <c r="P101" s="2" t="n"/>
      <c r="Q101" s="2" t="n"/>
    </row>
    <row r="102" ht="16" customHeight="1" thickBot="1">
      <c r="A102" s="2" t="n"/>
      <c r="B102" s="52" t="n"/>
      <c r="C102" s="2" t="n"/>
      <c r="D102" s="2" t="n"/>
      <c r="E102" s="2" t="n"/>
      <c r="F102" s="2" t="n"/>
      <c r="G102" s="36" t="n">
        <v>8</v>
      </c>
      <c r="H102" s="60" t="n">
        <v>0</v>
      </c>
      <c r="I102" s="2" t="n"/>
      <c r="J102" s="2" t="n"/>
      <c r="K102" s="2" t="n"/>
      <c r="L102" s="51" t="n"/>
      <c r="M102" s="2" t="n"/>
      <c r="N102" s="2" t="n"/>
      <c r="O102" s="2" t="n"/>
      <c r="P102" s="2" t="n"/>
      <c r="Q102" s="2" t="n"/>
    </row>
    <row r="103" ht="16" customHeight="1" thickBot="1">
      <c r="A103" s="2" t="n"/>
      <c r="B103" s="52" t="n"/>
      <c r="C103" s="2" t="n"/>
      <c r="D103" s="2" t="n"/>
      <c r="E103" s="2" t="n"/>
      <c r="F103" s="2" t="n"/>
      <c r="G103" s="36" t="n">
        <v>9</v>
      </c>
      <c r="H103" s="60" t="n">
        <v>0</v>
      </c>
      <c r="I103" s="2" t="n"/>
      <c r="J103" s="2" t="n"/>
      <c r="K103" s="2" t="n"/>
      <c r="L103" s="51" t="n"/>
      <c r="M103" s="2" t="n"/>
      <c r="N103" s="2" t="n"/>
      <c r="O103" s="2" t="n"/>
      <c r="P103" s="2" t="n"/>
      <c r="Q103" s="2" t="n"/>
    </row>
    <row r="104" ht="16" customHeight="1" thickBot="1">
      <c r="A104" s="2" t="n"/>
      <c r="B104" s="52" t="n"/>
      <c r="C104" s="2" t="n"/>
      <c r="D104" s="2" t="n"/>
      <c r="E104" s="2" t="n"/>
      <c r="F104" s="2" t="n"/>
      <c r="G104" s="37" t="n">
        <v>10</v>
      </c>
      <c r="H104" s="60" t="n">
        <v>0</v>
      </c>
      <c r="I104" s="2" t="n"/>
      <c r="J104" s="2" t="n"/>
      <c r="K104" s="2" t="n"/>
      <c r="L104" s="51" t="n"/>
      <c r="M104" s="2" t="n"/>
      <c r="N104" s="2" t="n"/>
      <c r="O104" s="2" t="n"/>
      <c r="P104" s="2" t="n"/>
      <c r="Q104" s="2" t="n"/>
    </row>
    <row r="105" ht="16" customHeight="1" thickBot="1">
      <c r="A105" s="2" t="n"/>
      <c r="B105" s="61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62" t="n"/>
      <c r="M105" s="2" t="n"/>
      <c r="N105" s="2" t="n"/>
      <c r="O105" s="2" t="n"/>
      <c r="P105" s="2" t="n"/>
      <c r="Q105" s="2" t="n"/>
    </row>
    <row r="109">
      <c r="B109" s="131">
        <f>$C$83</f>
        <v/>
      </c>
    </row>
    <row r="110" ht="15" customHeight="1">
      <c r="A110" s="25" t="inlineStr">
        <is>
          <t>Grafico</t>
        </is>
      </c>
      <c r="B110" s="68" t="inlineStr">
        <is>
          <t>Nero</t>
        </is>
      </c>
      <c r="C110" s="67" t="inlineStr">
        <is>
          <t>Rosso</t>
        </is>
      </c>
      <c r="D110" s="66" t="inlineStr">
        <is>
          <t>Giallo</t>
        </is>
      </c>
      <c r="E110" s="65" t="inlineStr">
        <is>
          <t>Verde</t>
        </is>
      </c>
      <c r="F110" s="2" t="n"/>
    </row>
    <row r="111" ht="15" customHeight="1">
      <c r="A111" s="2" t="n"/>
      <c r="B111" s="69">
        <f>$C$83</f>
        <v/>
      </c>
      <c r="C111" s="69">
        <f>$C$83</f>
        <v/>
      </c>
      <c r="D111" s="69">
        <f>$C$83</f>
        <v/>
      </c>
      <c r="E111" s="69">
        <f>$C$83</f>
        <v/>
      </c>
      <c r="F111" s="2" t="n"/>
    </row>
    <row r="112" ht="15" customHeight="1">
      <c r="A112" s="2" t="n"/>
      <c r="B112" s="25">
        <f>10-B113</f>
        <v/>
      </c>
      <c r="C112" s="25">
        <f>10-C113</f>
        <v/>
      </c>
      <c r="D112" s="25">
        <f>10-D113</f>
        <v/>
      </c>
      <c r="E112" s="25">
        <f>10-E113</f>
        <v/>
      </c>
      <c r="F112" s="2" t="n"/>
    </row>
    <row r="113" ht="15" customHeight="1">
      <c r="A113" s="2" t="n"/>
      <c r="B113" s="25">
        <f>IF(B111=10,B111,"")</f>
        <v/>
      </c>
      <c r="C113" s="25">
        <f>IF(AND(C111&gt;=7,C111&lt;=9),C111,"")</f>
        <v/>
      </c>
      <c r="D113" s="25">
        <f>IF(AND(D111&gt;=4,D111&lt;=6),D111,"")</f>
        <v/>
      </c>
      <c r="E113" s="25">
        <f>IF(AND(E111&gt;=1,E111&lt;=3),E111,"")</f>
        <v/>
      </c>
      <c r="F113" s="2" t="n"/>
    </row>
    <row r="114" ht="15" customHeight="1">
      <c r="A114" s="2" t="n"/>
      <c r="B114" s="25" t="n">
        <v>10</v>
      </c>
      <c r="C114" s="25" t="n">
        <v>10</v>
      </c>
      <c r="D114" s="25" t="n">
        <v>10</v>
      </c>
      <c r="E114" s="25" t="n">
        <v>10</v>
      </c>
      <c r="F114" s="2" t="n"/>
    </row>
    <row r="115" ht="15" customHeight="1">
      <c r="A115" s="2" t="n"/>
      <c r="B115" s="2" t="n"/>
      <c r="C115" s="2" t="n"/>
      <c r="D115" s="2" t="n"/>
      <c r="E115" s="2" t="n"/>
      <c r="F115" s="2" t="n"/>
    </row>
    <row r="116" ht="15" customHeight="1">
      <c r="A116" s="2" t="n"/>
      <c r="B116" s="2" t="n"/>
      <c r="C116" s="2" t="n"/>
      <c r="D116" s="2" t="n"/>
      <c r="E116" s="2" t="n"/>
      <c r="F116" s="2" t="n"/>
    </row>
    <row r="117" ht="15" customHeight="1">
      <c r="B117" s="2" t="n"/>
      <c r="C117" s="2" t="n"/>
      <c r="D117" s="2" t="n"/>
      <c r="E117" s="2" t="n"/>
      <c r="F117" s="2" t="n"/>
    </row>
    <row r="118" ht="15" customHeight="1">
      <c r="A118" s="2" t="n"/>
      <c r="B118" s="1" t="inlineStr">
        <is>
          <t>Valore</t>
        </is>
      </c>
      <c r="C118" s="1" t="inlineStr">
        <is>
          <t>Rating</t>
        </is>
      </c>
      <c r="D118" s="79" t="inlineStr">
        <is>
          <t>Molto Critica</t>
        </is>
      </c>
      <c r="E118" s="79" t="inlineStr">
        <is>
          <t>Critica</t>
        </is>
      </c>
      <c r="F118" s="80" t="inlineStr">
        <is>
          <t>Adeguata</t>
        </is>
      </c>
      <c r="G118" s="81" t="inlineStr">
        <is>
          <t>Positiva</t>
        </is>
      </c>
      <c r="H118" s="81" t="inlineStr">
        <is>
          <t>Eccellente</t>
        </is>
      </c>
    </row>
    <row r="119" ht="15" customHeight="1">
      <c r="A119" s="2" t="n"/>
      <c r="B119" s="2" t="n"/>
      <c r="C119" s="2" t="n"/>
      <c r="D119" s="76" t="n">
        <v>5</v>
      </c>
      <c r="E119" s="76" t="n">
        <v>4</v>
      </c>
      <c r="F119" s="77" t="n">
        <v>3</v>
      </c>
      <c r="G119" s="78" t="n">
        <v>2</v>
      </c>
      <c r="H119" s="78" t="n">
        <v>1</v>
      </c>
    </row>
    <row r="120" ht="15" customHeight="1">
      <c r="A120" s="74" t="inlineStr">
        <is>
          <t>Reddituale</t>
        </is>
      </c>
      <c r="B120" s="74" t="n"/>
      <c r="C120" s="74" t="n"/>
      <c r="D120" s="74" t="n"/>
      <c r="E120" s="74" t="n"/>
      <c r="F120" s="74" t="n"/>
      <c r="G120" s="74" t="n"/>
      <c r="H120" s="74" t="n"/>
    </row>
    <row r="121" ht="15" customHeight="1">
      <c r="A121" s="2" t="inlineStr">
        <is>
          <t>Crescita Fatturato</t>
        </is>
      </c>
      <c r="B121" s="70">
        <f>+Report!D98</f>
        <v/>
      </c>
      <c r="C121" s="2">
        <f>IF(B121&lt;=D121,$D$119,IF(B121&lt;=E121,$E$119,IF(B121&lt;=F121,$F$119,IF(B121&lt;=G121,$G$119,IF(OR(B121&lt;=H121,B121&gt;=H121),$H$119,"")))))</f>
        <v/>
      </c>
      <c r="D121" s="20" t="n">
        <v>-0.1</v>
      </c>
      <c r="E121" s="20" t="n">
        <v>-0.05</v>
      </c>
      <c r="F121" s="20" t="n">
        <v>0</v>
      </c>
      <c r="G121" s="20" t="n">
        <v>0.05</v>
      </c>
      <c r="H121" s="20" t="n">
        <v>0.1</v>
      </c>
    </row>
    <row r="122" ht="15" customHeight="1">
      <c r="A122" s="2" t="inlineStr">
        <is>
          <t>Crescita EBIT</t>
        </is>
      </c>
      <c r="B122" s="70">
        <f>+Report!D115</f>
        <v/>
      </c>
      <c r="C122" s="2">
        <f>IF(B122&lt;=D122,$D$119,IF(B122&lt;=E122,$E$119,IF(B122&lt;=F122,$F$119,IF(B122&lt;=G122,$G$119,IF(OR(B122&lt;=H122,B122&gt;=H122),$H$119,"")))))</f>
        <v/>
      </c>
      <c r="D122" s="20" t="n">
        <v>-0.07000000000000001</v>
      </c>
      <c r="E122" s="20" t="n">
        <v>-0.03</v>
      </c>
      <c r="F122" s="20" t="n">
        <v>0</v>
      </c>
      <c r="G122" s="20" t="n">
        <v>0.03</v>
      </c>
      <c r="H122" s="20" t="n">
        <v>0.07000000000000001</v>
      </c>
    </row>
    <row r="123" ht="15" customHeight="1">
      <c r="A123" s="2" t="inlineStr">
        <is>
          <t>Crescita Peso EBIT</t>
        </is>
      </c>
      <c r="B123" s="20">
        <f>+Report!B116-Report!C116</f>
        <v/>
      </c>
      <c r="C123" s="2">
        <f>IF(B123&lt;=D123,$D$119,IF(B123&lt;=E123,$E$119,IF(B123&lt;=F123,$F$119,IF(B123&lt;=G123,$G$119,IF(OR(B123&lt;=H123,B123&gt;=H123),$H$119,"")))))</f>
        <v/>
      </c>
      <c r="D123" s="20" t="n">
        <v>-0.05</v>
      </c>
      <c r="E123" s="20" t="n">
        <v>-0.03</v>
      </c>
      <c r="F123" s="20" t="n">
        <v>0</v>
      </c>
      <c r="G123" s="20" t="n">
        <v>0.03</v>
      </c>
      <c r="H123" s="20" t="n">
        <v>0.07000000000000001</v>
      </c>
    </row>
    <row r="124" ht="15" customHeight="1">
      <c r="A124" s="2" t="inlineStr">
        <is>
          <t>Crescita Utile</t>
        </is>
      </c>
      <c r="B124" s="70">
        <f>+Report!D119</f>
        <v/>
      </c>
      <c r="C124" s="2">
        <f>IF(B124&lt;=D124,$D$119,IF(B124&lt;=E124,$E$119,IF(B124&lt;=F124,$F$119,IF(B124&lt;=G124,$G$119,IF(OR(B124&lt;=H124,B124&gt;=H124),$H$119,"")))))</f>
        <v/>
      </c>
      <c r="D124" s="20" t="n">
        <v>-0.03</v>
      </c>
      <c r="E124" s="20" t="n">
        <v>-0.01</v>
      </c>
      <c r="F124" s="20" t="n">
        <v>0</v>
      </c>
      <c r="G124" s="20" t="n">
        <v>0.03</v>
      </c>
      <c r="H124" s="20" t="n">
        <v>0.05</v>
      </c>
    </row>
    <row r="125" ht="15" customHeight="1">
      <c r="A125" s="2" t="inlineStr">
        <is>
          <t>Crescita Peso Utile</t>
        </is>
      </c>
      <c r="B125" s="18">
        <f>+(Report!B119/Report!B98)-(Report!C119/Report!C98)</f>
        <v/>
      </c>
      <c r="C125" s="2">
        <f>IF(B125&lt;=D125,$D$119,IF(B125&lt;=E125,$E$119,IF(B125&lt;=F125,$F$119,IF(B125&lt;=G125,$G$119,IF(OR(B125&lt;=H125,B125&gt;=H125),$H$119,"")))))</f>
        <v/>
      </c>
      <c r="D125" s="20" t="n">
        <v>-0.03</v>
      </c>
      <c r="E125" s="20" t="n">
        <v>-0.01</v>
      </c>
      <c r="F125" s="20" t="n">
        <v>0</v>
      </c>
      <c r="G125" s="20" t="n">
        <v>0.02</v>
      </c>
      <c r="H125" s="20" t="n">
        <v>0.05</v>
      </c>
    </row>
    <row r="126" ht="15" customHeight="1">
      <c r="A126" s="2" t="inlineStr">
        <is>
          <t>ROS</t>
        </is>
      </c>
      <c r="B126" s="18">
        <f>+B65</f>
        <v/>
      </c>
      <c r="C126" s="2">
        <f>IF(B126&lt;=D126,$D$119,IF(B126&lt;=E126,$E$119,IF(B126&lt;=F126,$F$119,IF(B126&lt;=G126,$G$119,IF(OR(B126&lt;=H126,B126&gt;=H126),$H$119,"")))))</f>
        <v/>
      </c>
      <c r="D126" s="20" t="n">
        <v>-0.05</v>
      </c>
      <c r="E126" s="20" t="n">
        <v>0</v>
      </c>
      <c r="F126" s="20" t="n">
        <v>0.05</v>
      </c>
      <c r="G126" s="20" t="n">
        <v>0.15</v>
      </c>
      <c r="H126" s="20" t="n">
        <v>0.2</v>
      </c>
    </row>
    <row r="127" ht="15" customHeight="1">
      <c r="A127" s="74" t="inlineStr">
        <is>
          <t>Media</t>
        </is>
      </c>
      <c r="B127" s="71" t="n"/>
      <c r="C127" s="75">
        <f>ROUND(IF($I$92="Microimpresa",AVERAGE(C121:C126)+0.5,IF($I$92="Piccola impresa",AVERAGE(C121:C126)+0.25,IF($I$92="Media impresa",AVERAGE(C121:C126)+0.125,IF($I$92="Grande impresa",AVERAGE(C121:C126),"")))),0)</f>
        <v/>
      </c>
      <c r="D127" s="2" t="n"/>
      <c r="E127" s="2" t="n"/>
      <c r="F127" s="2" t="n"/>
      <c r="G127" s="2" t="n"/>
      <c r="H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" customHeight="1">
      <c r="A129" s="74" t="inlineStr">
        <is>
          <t>Finanziaria</t>
        </is>
      </c>
      <c r="B129" s="74" t="n"/>
      <c r="C129" s="74" t="n"/>
      <c r="D129" s="74" t="n"/>
      <c r="E129" s="74" t="n"/>
      <c r="F129" s="74" t="n"/>
      <c r="G129" s="74" t="n"/>
      <c r="H129" s="74" t="n"/>
    </row>
    <row r="130" ht="15" customHeight="1">
      <c r="A130" s="2" t="inlineStr">
        <is>
          <t>Disponibilità Liquide Peso</t>
        </is>
      </c>
      <c r="B130" s="70">
        <f>+Report!B70</f>
        <v/>
      </c>
      <c r="C130" s="2">
        <f>IF(B130&lt;=D130,$D$119,IF(B130&lt;=E130,$E$119,IF(B130&lt;=F130,$F$119,IF(B130&lt;=G130,$G$119,IF(OR(B130&lt;=H130,B130&gt;=H130),$H$119,"")))))</f>
        <v/>
      </c>
      <c r="D130" s="20" t="n">
        <v>0.05</v>
      </c>
      <c r="E130" s="20" t="n">
        <v>0.1</v>
      </c>
      <c r="F130" s="20" t="n">
        <v>0.2</v>
      </c>
      <c r="G130" s="20" t="n">
        <v>0.3</v>
      </c>
      <c r="H130" s="20" t="n">
        <v>0.5</v>
      </c>
    </row>
    <row r="131" ht="15" customHeight="1">
      <c r="A131" s="2" t="inlineStr">
        <is>
          <t>Crescita Disponibilità liquide</t>
        </is>
      </c>
      <c r="B131" s="70">
        <f>+Report!D69</f>
        <v/>
      </c>
      <c r="C131" s="2">
        <f>IF(B131&lt;=D131,$D$119,IF(B131&lt;=E131,$E$119,IF(B131&lt;=F131,$F$119,IF(B131&lt;=G131,$G$119,IF(OR(B131&lt;=H131,B131&gt;=H131),$H$119,"")))))</f>
        <v/>
      </c>
      <c r="D131" s="20" t="n">
        <v>-0.35</v>
      </c>
      <c r="E131" s="20" t="n">
        <v>-0.15</v>
      </c>
      <c r="F131" s="20" t="n">
        <v>0</v>
      </c>
      <c r="G131" s="20" t="n">
        <v>0.15</v>
      </c>
      <c r="H131" s="20" t="n">
        <v>0.35</v>
      </c>
    </row>
    <row r="132" ht="15" customHeight="1">
      <c r="A132" s="2" t="inlineStr">
        <is>
          <t>Disponibilità Liquide &gt; Indebitamento finanziario di breve</t>
        </is>
      </c>
      <c r="B132" s="72">
        <f>+Report!B69-Report!B87</f>
        <v/>
      </c>
      <c r="C132" s="2">
        <f>IF(B132&gt;F132,F119,E119)</f>
        <v/>
      </c>
      <c r="D132" s="20" t="n"/>
      <c r="E132" s="2" t="n"/>
      <c r="F132" s="2" t="n">
        <v>0</v>
      </c>
      <c r="G132" s="2" t="n"/>
      <c r="H132" s="20" t="n"/>
    </row>
    <row r="133" ht="15" customHeight="1">
      <c r="A133" s="2" t="inlineStr">
        <is>
          <t>Disponibilità Liquide &gt; Indebitamento finanziario totale</t>
        </is>
      </c>
      <c r="B133" s="72">
        <f>+Report!B69-Report!B86</f>
        <v/>
      </c>
      <c r="C133" s="2">
        <f>IF(B133&gt;F133,G119,F119)</f>
        <v/>
      </c>
      <c r="D133" s="2" t="n"/>
      <c r="E133" s="2" t="n"/>
      <c r="F133" s="2" t="n">
        <v>0</v>
      </c>
      <c r="G133" s="2" t="n"/>
      <c r="H133" s="2" t="n"/>
    </row>
    <row r="134" ht="15" customHeight="1">
      <c r="A134" s="2" t="inlineStr">
        <is>
          <t>Crescita EBITDA</t>
        </is>
      </c>
      <c r="B134" s="18">
        <f>+(Report!B136-Report!C136)/Report!C136</f>
        <v/>
      </c>
      <c r="C134" s="2">
        <f>IF(B134&lt;=D134,$D$119,IF(B134&lt;=E134,$E$119,IF(B134&lt;=F134,$F$119,IF(B134&lt;=G134,$G$119,IF(OR(B134&lt;=H134,B134&gt;=H134),$H$119,"")))))</f>
        <v/>
      </c>
      <c r="D134" s="18" t="n">
        <v>-0.1</v>
      </c>
      <c r="E134" s="18" t="n">
        <v>-0.05</v>
      </c>
      <c r="F134" s="18" t="n">
        <v>0</v>
      </c>
      <c r="G134" s="18" t="n">
        <v>0.05</v>
      </c>
      <c r="H134" s="18" t="n">
        <v>0.1</v>
      </c>
      <c r="I134" s="8" t="n"/>
    </row>
    <row r="135" ht="15" customHeight="1">
      <c r="A135" s="74" t="inlineStr">
        <is>
          <t>Media</t>
        </is>
      </c>
      <c r="B135" s="73" t="n"/>
      <c r="C135" s="75">
        <f>ROUND(IF($I$92="Microimpresa",AVERAGE(C130:C134)+0.5,IF($I$92="Piccola impresa",AVERAGE(C130:C134)+0.25,IF($I$92="Media impresa",AVERAGE(C130:C134)+0.125,IF($I$92="Grande impresa",AVERAGE(C130:C134),"")))),0)</f>
        <v/>
      </c>
      <c r="D135" s="18" t="n"/>
      <c r="E135" s="18" t="n"/>
      <c r="F135" s="18" t="n"/>
      <c r="G135" s="18" t="n"/>
      <c r="H135" s="18" t="n"/>
      <c r="I135" s="8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" customHeight="1">
      <c r="A137" s="74" t="inlineStr">
        <is>
          <t>Patrimoniale</t>
        </is>
      </c>
      <c r="B137" s="74" t="n"/>
      <c r="C137" s="74" t="n"/>
      <c r="D137" s="74" t="n"/>
      <c r="E137" s="74" t="n"/>
      <c r="F137" s="74" t="n"/>
      <c r="G137" s="74" t="n"/>
      <c r="H137" s="74" t="n"/>
    </row>
    <row r="138" ht="15" customHeight="1">
      <c r="A138" s="2" t="inlineStr">
        <is>
          <t>Peso Patrimonio Netto</t>
        </is>
      </c>
      <c r="B138" s="70">
        <f>+Report!B77</f>
        <v/>
      </c>
      <c r="C138" s="2">
        <f>IF(B138&lt;=D138,$D$119,IF(B138&lt;=E138,$E$119,IF(B138&lt;=F138,$F$119,IF(B138&lt;=G138,$G$119,IF(OR(B138&lt;=H138,B138&gt;=H138),$H$119,"")))))</f>
        <v/>
      </c>
      <c r="D138" s="20" t="n">
        <v>0.15</v>
      </c>
      <c r="E138" s="20" t="n">
        <v>0.25</v>
      </c>
      <c r="F138" s="20" t="n">
        <v>0.35</v>
      </c>
      <c r="G138" s="20" t="n">
        <v>0.45</v>
      </c>
      <c r="H138" s="20" t="n">
        <v>0.55</v>
      </c>
    </row>
    <row r="139" ht="15" customHeight="1">
      <c r="A139" s="2" t="inlineStr">
        <is>
          <t>Rapporto Indebitamento</t>
        </is>
      </c>
      <c r="B139" s="63">
        <f>+B60</f>
        <v/>
      </c>
      <c r="C139" s="2">
        <f>IF(B139&gt;=D139,$D$119,IF(B139&gt;=E139,$E$119,IF(B139&gt;=F139,$F$119,IF(B139&gt;=G139,$G$119,IF(OR(B139&gt;=H139,B139&lt;=H139),$H$119,"")))))</f>
        <v/>
      </c>
      <c r="D139" s="2" t="n">
        <v>2</v>
      </c>
      <c r="E139" s="2" t="n">
        <v>1.5</v>
      </c>
      <c r="F139" s="2" t="n">
        <v>1</v>
      </c>
      <c r="G139" s="2" t="n">
        <v>0.6</v>
      </c>
      <c r="H139" s="2" t="n">
        <v>0.4</v>
      </c>
    </row>
    <row r="140" ht="15" customHeight="1">
      <c r="A140" s="74" t="inlineStr">
        <is>
          <t>Media</t>
        </is>
      </c>
      <c r="B140" s="71" t="n"/>
      <c r="C140" s="75">
        <f>ROUND(IF($I$92="Microimpresa",AVERAGE(C138:C139)+0.5,IF($I$92="Piccola impresa",AVERAGE(C138:C139)+0.25,IF($I$92="Media impresa",AVERAGE(C138:C139)+0.125,IF($I$92="Grande impresa",AVERAGE(C138:C139),"")))),0)</f>
        <v/>
      </c>
      <c r="D140" s="2" t="n"/>
      <c r="E140" s="2" t="n"/>
      <c r="F140" s="2" t="n"/>
      <c r="G140" s="2" t="n"/>
      <c r="H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</row>
  </sheetData>
  <mergeCells count="1">
    <mergeCell ref="H55:Q55"/>
  </mergeCells>
  <conditionalFormatting sqref="B52:D53">
    <cfRule type="cellIs" priority="9" operator="equal" dxfId="28">
      <formula>FALSE</formula>
    </cfRule>
    <cfRule type="cellIs" priority="10" operator="equal" dxfId="35">
      <formula>TRUE</formula>
    </cfRule>
  </conditionalFormatting>
  <conditionalFormatting sqref="C57:C58 C60:C63 C65:C70 C72">
    <cfRule type="cellIs" priority="5" operator="equal" dxfId="29">
      <formula>10</formula>
    </cfRule>
    <cfRule type="cellIs" priority="6" operator="between" dxfId="28">
      <formula>7</formula>
      <formula>9</formula>
    </cfRule>
    <cfRule type="cellIs" priority="7" operator="between" dxfId="27">
      <formula>4</formula>
      <formula>6</formula>
    </cfRule>
    <cfRule type="cellIs" priority="8" operator="lessThan" dxfId="30">
      <formula>4</formula>
    </cfRule>
  </conditionalFormatting>
  <conditionalFormatting sqref="C83 E75">
    <cfRule type="cellIs" priority="1" operator="between" dxfId="30">
      <formula>1</formula>
      <formula>3</formula>
    </cfRule>
    <cfRule type="cellIs" priority="2" operator="equal" dxfId="29">
      <formula>10</formula>
    </cfRule>
    <cfRule type="cellIs" priority="3" operator="between" dxfId="28">
      <formula>7</formula>
      <formula>9</formula>
    </cfRule>
    <cfRule type="cellIs" priority="4" operator="between" dxfId="27">
      <formula>4</formula>
      <formula>6</formula>
    </cfRule>
  </conditionalFormatting>
  <dataValidations count="2">
    <dataValidation sqref="C2" showDropDown="0" showInputMessage="1" showErrorMessage="1" allowBlank="1" type="list">
      <formula1>"Cliente,Fornitore"</formula1>
    </dataValidation>
    <dataValidation sqref="D2" showDropDown="0" showInputMessage="1" showErrorMessage="1" allowBlank="1" type="list">
      <formula1>"1,2,3,4,5,6,7,8,9,10,n.d."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">
    <outlinePr summaryBelow="1" summaryRight="1"/>
    <pageSetUpPr/>
  </sheetPr>
  <dimension ref="A1:H185"/>
  <sheetViews>
    <sheetView view="pageBreakPreview" zoomScaleNormal="100" zoomScaleSheetLayoutView="100" workbookViewId="0">
      <selection activeCell="B11" sqref="B11"/>
    </sheetView>
  </sheetViews>
  <sheetFormatPr baseColWidth="10" defaultColWidth="8.83203125" defaultRowHeight="14"/>
  <cols>
    <col width="33.6640625" customWidth="1" min="1" max="1"/>
    <col width="22.1640625" customWidth="1" min="2" max="3"/>
    <col width="27.83203125" customWidth="1" min="4" max="4"/>
    <col width="11.83203125" customWidth="1" min="6" max="6"/>
    <col width="44.6640625" customWidth="1" min="7" max="7"/>
    <col width="14.83203125" customWidth="1" min="9" max="9"/>
    <col width="14.6640625" customWidth="1" min="10" max="10"/>
  </cols>
  <sheetData>
    <row r="1" ht="35" customHeight="1">
      <c r="A1" s="129" t="n"/>
      <c r="B1" s="177">
        <f>Input!B1</f>
        <v/>
      </c>
      <c r="C1" s="127" t="n"/>
      <c r="D1" s="127" t="n"/>
      <c r="E1" s="127" t="n"/>
      <c r="F1" s="128" t="n"/>
      <c r="G1" s="12" t="n"/>
      <c r="H1" s="12" t="n"/>
    </row>
    <row r="2" ht="11.5" customHeight="1">
      <c r="A2" s="83" t="n"/>
      <c r="B2" s="84" t="n"/>
      <c r="C2" s="82" t="n"/>
      <c r="D2" s="84" t="n"/>
      <c r="E2" s="82" t="n"/>
      <c r="F2" s="85" t="n"/>
    </row>
    <row r="3" ht="19" customHeight="1" thickBot="1">
      <c r="A3" s="130" t="inlineStr">
        <is>
          <t>Profilo Società</t>
        </is>
      </c>
      <c r="B3" s="84" t="n"/>
      <c r="C3" s="82" t="n"/>
      <c r="D3" s="84" t="n"/>
      <c r="E3" s="82" t="n"/>
      <c r="F3" s="86" t="n"/>
    </row>
    <row r="4" ht="21" customHeight="1" thickTop="1">
      <c r="A4" s="82" t="inlineStr">
        <is>
          <t>PARTITA IVA</t>
        </is>
      </c>
      <c r="B4" s="82">
        <f>Input!$E$47</f>
        <v/>
      </c>
      <c r="C4" s="82" t="n"/>
      <c r="D4" s="82" t="n"/>
      <c r="E4" s="82" t="n"/>
      <c r="F4" s="82" t="n"/>
    </row>
    <row r="5" ht="18.75" customHeight="1">
      <c r="A5" s="82" t="inlineStr">
        <is>
          <t>ATECO 2007</t>
        </is>
      </c>
      <c r="B5" s="82">
        <f>Input!$B$46</f>
        <v/>
      </c>
      <c r="C5" s="82" t="n"/>
      <c r="D5" s="121" t="inlineStr">
        <is>
          <t>Fido</t>
        </is>
      </c>
      <c r="E5" s="82" t="n"/>
      <c r="F5" s="82" t="n"/>
    </row>
    <row r="6" ht="18.75" customHeight="1">
      <c r="A6" s="82" t="inlineStr">
        <is>
          <t>FORMA GIURIDICA</t>
        </is>
      </c>
      <c r="B6" s="82">
        <f>Input!$B$48</f>
        <v/>
      </c>
      <c r="C6" s="82" t="n"/>
      <c r="D6" s="178">
        <f>IF(Input!E2="",Input!$D$85,Input!$E$2)</f>
        <v/>
      </c>
      <c r="E6" s="82" t="n"/>
      <c r="F6" s="82" t="n"/>
    </row>
    <row r="7" ht="18.75" customHeight="1">
      <c r="A7" s="82" t="inlineStr">
        <is>
          <t>SEDE</t>
        </is>
      </c>
      <c r="B7" s="82">
        <f>Input!$B$49</f>
        <v/>
      </c>
      <c r="C7" s="82" t="n"/>
      <c r="D7" s="82" t="n"/>
      <c r="E7" s="82" t="n"/>
      <c r="F7" s="82" t="n"/>
    </row>
    <row r="8" ht="11" customHeight="1">
      <c r="A8" s="82" t="n"/>
      <c r="B8" s="82" t="n"/>
      <c r="C8" s="82" t="n"/>
      <c r="D8" s="82" t="n"/>
      <c r="E8" s="82" t="n"/>
      <c r="F8" s="82" t="n"/>
    </row>
    <row r="9" ht="9.5" customHeight="1" thickBot="1">
      <c r="A9" s="82" t="n"/>
      <c r="B9" s="82" t="n"/>
      <c r="D9" s="82" t="n"/>
      <c r="E9" s="82" t="n"/>
      <c r="F9" s="82" t="n"/>
    </row>
    <row r="10" ht="18" customHeight="1" thickBot="1">
      <c r="A10" s="120" t="inlineStr">
        <is>
          <t>Situazione Reddituale</t>
        </is>
      </c>
    </row>
    <row r="11" ht="26.25" customHeight="1" thickBot="1">
      <c r="A11" s="181">
        <f>IF(B11="Eccellente","nnnnnnnnnnnnn",IF(B11="Positiva","nnnnnnnnnn",IF(B11="Adeguata","nnnnnnn",IF(B11="Critica","nnnn",IF(B11="Molto Critica","n","")))))</f>
        <v/>
      </c>
      <c r="B11" s="87" t="inlineStr">
        <is>
          <t>Adeguata</t>
        </is>
      </c>
      <c r="D11" s="121" t="inlineStr">
        <is>
          <t>Grade</t>
        </is>
      </c>
    </row>
    <row r="12" ht="19" customHeight="1" thickBot="1">
      <c r="A12" s="10" t="n"/>
      <c r="B12" s="7" t="n"/>
      <c r="D12" s="7" t="n"/>
    </row>
    <row r="13" ht="18" customHeight="1" thickBot="1">
      <c r="A13" s="120" t="inlineStr">
        <is>
          <t>Situazione Finanziaria</t>
        </is>
      </c>
      <c r="D13" s="14" t="n"/>
    </row>
    <row r="14" ht="26.25" customHeight="1" thickBot="1">
      <c r="A14" s="181">
        <f>IF(B14="Eccellente","nnnnnnnnnnnnn",IF(B14="Positiva","nnnnnnnnnn",IF(B14="Adeguata","nnnnnnn",IF(B14="Critica","nnnn",IF(B14="Molto Critica","n","")))))</f>
        <v/>
      </c>
      <c r="B14" s="87">
        <f>INDEX(Input.$D$118:$H$118,MATCH(Input!C135,Input.$D$119:$H$119,0))</f>
        <v/>
      </c>
      <c r="D14" s="14" t="n"/>
    </row>
    <row r="15" ht="24" customHeight="1" thickBot="1">
      <c r="A15" s="10" t="n"/>
      <c r="B15" s="7" t="n"/>
      <c r="D15" s="175">
        <f>IF(Input!D2="",Input!$C$83,Input!$D$2)</f>
        <v/>
      </c>
    </row>
    <row r="16" ht="17" customHeight="1" thickBot="1">
      <c r="A16" s="120" t="inlineStr">
        <is>
          <t>Situazione Patrimoniale</t>
        </is>
      </c>
      <c r="D16" s="15" t="n"/>
    </row>
    <row r="17" ht="24" customHeight="1" thickBot="1">
      <c r="A17" s="181">
        <f>IF(B17="Eccellente","nnnnnnnnnnnnn",IF(B17="Positiva","nnnnnnnnnn",IF(B17="Adeguata","nnnnnnn",IF(B17="Critica","nnnn",IF(B17="Molto Critica","n","")))))</f>
        <v/>
      </c>
      <c r="B17" s="87" t="inlineStr">
        <is>
          <t>Adeguata</t>
        </is>
      </c>
      <c r="D17" s="15" t="n"/>
    </row>
    <row r="19" ht="9" customHeight="1">
      <c r="A19" s="13" t="n"/>
      <c r="B19" s="13" t="n"/>
    </row>
    <row r="20" ht="18" customHeight="1" thickBot="1">
      <c r="A20" s="180" t="inlineStr">
        <is>
          <t>Sintesi KPI</t>
        </is>
      </c>
      <c r="B20" s="13">
        <f>IF(B98&gt;=1000000,TEXT(TRUNC(B98/1000000,2),"0,00")&amp;" mln",IF(B98&gt;=1000,TEXT(TRUNC(B98/1000,2),"0,00")&amp;"k",TEXT(B98,"0,00")))</f>
        <v/>
      </c>
    </row>
    <row r="21" ht="15" customHeight="1" thickTop="1">
      <c r="A21" s="13" t="n"/>
      <c r="B21" s="13" t="n"/>
    </row>
    <row r="22" ht="20" customHeight="1">
      <c r="A22" s="134" t="inlineStr">
        <is>
          <t>Ricavi</t>
        </is>
      </c>
      <c r="B22" s="134" t="inlineStr">
        <is>
          <t>EBIT</t>
        </is>
      </c>
      <c r="C22" s="134" t="inlineStr">
        <is>
          <t>EBITDA</t>
        </is>
      </c>
      <c r="D22" s="134" t="inlineStr">
        <is>
          <t>Utile d'es.</t>
        </is>
      </c>
      <c r="E22" s="132" t="n"/>
      <c r="F22" s="132" t="n"/>
    </row>
    <row r="23" ht="29" customHeight="1">
      <c r="A23" s="193">
        <f>+Input!B8</f>
        <v/>
      </c>
      <c r="B23" s="193">
        <f>+Input!B17</f>
        <v/>
      </c>
      <c r="C23" s="193">
        <f>+Input!B17+Input!B14</f>
        <v/>
      </c>
      <c r="D23" s="193">
        <f>+Input!B20</f>
        <v/>
      </c>
      <c r="E23" s="132" t="n"/>
      <c r="F23" s="132" t="n"/>
    </row>
    <row r="24" ht="29" customHeight="1">
      <c r="A24" s="136">
        <f>IFERROR(TEXT((Input!B8-Input!C8)/Input!C8,"+0,00%;-0,00%;0,00%") &amp; " vs " &amp; TEXT(Input!C8,"#.##0"),"n.d.")</f>
        <v/>
      </c>
      <c r="B24" s="136">
        <f>IFERROR(TEXT((Input!B17-Input!C17)/Input!C17,"+0,00%;-0,00%;0,00%") &amp; " vs " &amp; TEXT(Input!C17,"#.##0"),"n.d.")</f>
        <v/>
      </c>
      <c r="C24" s="136">
        <f>IFERROR(TEXT(((Input!B17+Input!B14)-(Input!C17+Input!C14))/(Input!C17+Input!C14),"+0,00%;-0,00%;0,00%") &amp; " vs " &amp; TEXT((Input!C17+Input!C14),"#.##0"),"n.d.")</f>
        <v/>
      </c>
      <c r="D24" s="136">
        <f>IFERROR(TEXT((Input!B20-Input!C20)/Input!C20,"+0,00%;-0,00%;0,00%") &amp; " vs " &amp; TEXT(Input!C20,"#.##0"),"n.d.")</f>
        <v/>
      </c>
      <c r="E24" s="132" t="n"/>
      <c r="F24" s="132" t="n"/>
    </row>
    <row r="25" ht="14.5" customHeight="1">
      <c r="A25" s="136" t="n"/>
      <c r="B25" s="136" t="n"/>
      <c r="C25" s="136" t="n"/>
      <c r="D25" s="136" t="n"/>
      <c r="E25" s="132" t="n"/>
      <c r="F25" s="132" t="n"/>
    </row>
    <row r="26" ht="23" customHeight="1">
      <c r="A26" s="134" t="inlineStr">
        <is>
          <t>Patr. Netto</t>
        </is>
      </c>
      <c r="B26" s="134" t="inlineStr">
        <is>
          <t>Deb. Fin.</t>
        </is>
      </c>
      <c r="C26" s="134" t="inlineStr">
        <is>
          <t>Disp. Liq.</t>
        </is>
      </c>
      <c r="D26" s="134" t="inlineStr">
        <is>
          <t>Dipendenti</t>
        </is>
      </c>
      <c r="E26" s="132" t="n"/>
      <c r="F26" s="132" t="n"/>
    </row>
    <row r="27" ht="29" customHeight="1">
      <c r="A27" s="137">
        <f>+Input!B34</f>
        <v/>
      </c>
      <c r="B27" s="137">
        <f>+Input!B40</f>
        <v/>
      </c>
      <c r="C27" s="137">
        <f>+Input!B31</f>
        <v/>
      </c>
      <c r="D27" s="138">
        <f>+Input!B21</f>
        <v/>
      </c>
      <c r="E27" s="132" t="n"/>
      <c r="F27" s="132" t="n"/>
    </row>
    <row r="28" ht="29" customHeight="1">
      <c r="A28" s="136">
        <f>IFERROR(TEXT((Input!B34-Input!C34)/Input!C34,"+0,00%;-0,00%;0,00%") &amp; " vs " &amp; TEXT(Input!C34,"#.##0"),"n.d.")</f>
        <v/>
      </c>
      <c r="B28" s="136">
        <f>IFERROR(TEXT((Input!B40-Input!C40)/Input!C40,"+0,00%;-0,00%;0,00%")&amp;" vs "&amp;TEXT(Input!C40,"#.##0"),"n.d.")</f>
        <v/>
      </c>
      <c r="C28" s="136">
        <f>IFERROR(TEXT((Input!B31-Input!C31)/Input!C31,"+0,00%;-0,00%;0,00%") &amp; " vs " &amp; TEXT(Input!C31,"#.##0"),"n.d.")</f>
        <v/>
      </c>
      <c r="D28" s="136">
        <f>IFERROR(TEXT((Input!B21-Input!C21)/Input!C21,"+0,00%;-0,00%;0,00%") &amp; " vs " &amp; TEXT(Input!C21,"#.##0"),"n.d.")</f>
        <v/>
      </c>
      <c r="E28" s="132" t="n"/>
      <c r="F28" s="132" t="n"/>
    </row>
    <row r="29" ht="9" customHeight="1">
      <c r="A29" s="132" t="n"/>
      <c r="B29" s="132" t="n"/>
      <c r="C29" s="132" t="n"/>
      <c r="D29" s="132" t="n"/>
      <c r="E29" s="132" t="n"/>
      <c r="F29" s="132" t="n"/>
    </row>
    <row r="30" ht="11" customHeight="1">
      <c r="A30" s="132" t="n"/>
      <c r="B30" s="132" t="n"/>
      <c r="C30" s="132" t="n"/>
      <c r="D30" s="132" t="n"/>
      <c r="E30" s="132" t="n"/>
      <c r="F30" s="132" t="n"/>
    </row>
    <row r="31" ht="21" customHeight="1" thickBot="1">
      <c r="A31" s="130" t="inlineStr">
        <is>
          <t>Valutazione</t>
        </is>
      </c>
      <c r="B31" s="132" t="n"/>
      <c r="E31" s="132" t="n"/>
      <c r="F31" s="132" t="n"/>
    </row>
    <row r="32" ht="12.5" customHeight="1" thickTop="1">
      <c r="A32" s="132" t="n"/>
      <c r="B32" s="132" t="n"/>
      <c r="C32" s="132" t="n"/>
      <c r="D32" s="132" t="n"/>
      <c r="E32" s="132" t="n"/>
      <c r="F32" s="132" t="n"/>
    </row>
    <row r="33" ht="17.5" customHeight="1">
      <c r="A33" s="139" t="inlineStr">
        <is>
          <t xml:space="preserve">   Ambito Economico</t>
        </is>
      </c>
      <c r="B33" s="139" t="n"/>
      <c r="C33" s="139" t="inlineStr">
        <is>
          <t>Ambito Finanziario e Patrimoniale</t>
        </is>
      </c>
      <c r="D33" s="139" t="n"/>
      <c r="E33" s="132" t="n"/>
      <c r="F33" s="132" t="n"/>
    </row>
    <row r="34" ht="17.5" customHeight="1">
      <c r="A34" s="189" t="n"/>
      <c r="C34" s="189" t="n"/>
      <c r="E34" s="132" t="n"/>
      <c r="F34" s="132" t="n"/>
    </row>
    <row r="35" ht="17" customHeight="1">
      <c r="E35" s="132" t="n"/>
      <c r="F35" s="132" t="n"/>
    </row>
    <row r="36" ht="17" customHeight="1">
      <c r="E36" s="132" t="n"/>
      <c r="F36" s="132" t="n"/>
    </row>
    <row r="37" ht="17" customHeight="1">
      <c r="E37" s="132" t="n"/>
      <c r="F37" s="132" t="n"/>
    </row>
    <row r="38" ht="17" customHeight="1">
      <c r="E38" s="132" t="n"/>
      <c r="F38" s="132" t="n"/>
    </row>
    <row r="39" ht="17" customHeight="1">
      <c r="E39" s="132" t="n"/>
      <c r="F39" s="132" t="n"/>
    </row>
    <row r="40" ht="17" customHeight="1">
      <c r="E40" s="132" t="n"/>
      <c r="F40" s="132" t="n"/>
    </row>
    <row r="41" ht="17" customHeight="1">
      <c r="E41" s="132" t="n"/>
      <c r="F41" s="132" t="n"/>
    </row>
    <row r="42" ht="12" customHeight="1">
      <c r="E42" s="132" t="n"/>
      <c r="F42" s="132" t="n"/>
    </row>
    <row r="43" ht="15" customHeight="1">
      <c r="E43" s="82" t="n"/>
      <c r="F43" s="82" t="n"/>
    </row>
    <row r="44" ht="17" customHeight="1">
      <c r="E44" s="82" t="n"/>
      <c r="F44" s="82" t="n"/>
    </row>
    <row r="45" ht="17" customHeight="1">
      <c r="A45" s="194" t="inlineStr">
        <is>
          <t>Sintesi</t>
        </is>
      </c>
      <c r="B45" s="176" t="n"/>
      <c r="C45" s="141" t="inlineStr">
        <is>
          <t>Grade e Fido</t>
        </is>
      </c>
      <c r="D45" s="141" t="n"/>
      <c r="E45" s="82" t="n"/>
      <c r="F45" s="82" t="n"/>
    </row>
    <row r="46" ht="17" customHeight="1">
      <c r="A46" s="189" t="n"/>
      <c r="C46" s="189" t="n"/>
      <c r="E46" s="82" t="n"/>
      <c r="F46" s="82" t="n"/>
    </row>
    <row r="47" ht="17" customHeight="1">
      <c r="E47" s="82" t="n"/>
      <c r="F47" s="82" t="n"/>
    </row>
    <row r="48" ht="17" customHeight="1">
      <c r="E48" s="82" t="n"/>
      <c r="F48" s="82" t="n"/>
    </row>
    <row r="49" ht="17" customHeight="1">
      <c r="E49" s="82" t="n"/>
      <c r="F49" s="82" t="n"/>
    </row>
    <row r="50" ht="17" customHeight="1">
      <c r="E50" s="82" t="n"/>
      <c r="F50" s="82" t="n"/>
    </row>
    <row r="51" ht="17" customHeight="1">
      <c r="E51" s="82" t="n"/>
      <c r="F51" s="82" t="n"/>
    </row>
    <row r="52" ht="17" customHeight="1">
      <c r="E52" s="82" t="n"/>
      <c r="F52" s="82" t="n"/>
    </row>
    <row r="53" ht="17" customHeight="1">
      <c r="E53" s="82" t="n"/>
      <c r="F53" s="82" t="n"/>
    </row>
    <row r="54" ht="17" customHeight="1">
      <c r="E54" s="82" t="n"/>
      <c r="F54" s="82" t="n"/>
    </row>
    <row r="55" ht="20.5" customHeight="1">
      <c r="E55" s="82" t="n"/>
      <c r="F55" s="82" t="n"/>
    </row>
    <row r="56" ht="8" customHeight="1">
      <c r="A56" s="179" t="n"/>
      <c r="B56" s="179" t="n"/>
      <c r="C56" s="179" t="n"/>
      <c r="D56" s="179" t="n"/>
      <c r="E56" s="82" t="n"/>
      <c r="F56" s="82" t="n"/>
    </row>
    <row r="57" ht="26" customHeight="1">
      <c r="A57" s="119" t="n"/>
      <c r="B57" s="119" t="n"/>
      <c r="C57" s="119" t="n"/>
      <c r="D57" s="119" t="n"/>
      <c r="E57" s="82" t="n"/>
      <c r="F57" s="82" t="n"/>
    </row>
    <row r="58" ht="20" customHeight="1">
      <c r="A58" s="122" t="inlineStr">
        <is>
          <t>STATO PATRIMONIALE</t>
        </is>
      </c>
      <c r="B58" s="123" t="n"/>
      <c r="C58" s="123" t="n"/>
      <c r="D58" s="123" t="n"/>
      <c r="E58" s="82" t="n"/>
      <c r="F58" s="82" t="n"/>
    </row>
    <row r="59" ht="18.5" customHeight="1">
      <c r="A59" s="142" t="inlineStr">
        <is>
          <t>Voce</t>
        </is>
      </c>
      <c r="B59" s="143">
        <f>Input!$B$6</f>
        <v/>
      </c>
      <c r="C59" s="143">
        <f>Input!$C$6</f>
        <v/>
      </c>
      <c r="D59" s="146" t="inlineStr">
        <is>
          <t>Var %</t>
        </is>
      </c>
      <c r="E59" s="82" t="n"/>
      <c r="F59" s="82" t="n"/>
    </row>
    <row r="60" ht="15" customHeight="1">
      <c r="A60" s="144" t="inlineStr">
        <is>
          <t>Attivo</t>
        </is>
      </c>
      <c r="B60" s="145" t="n"/>
      <c r="C60" s="145" t="n"/>
      <c r="D60" s="145" t="n"/>
      <c r="E60" s="82" t="n"/>
      <c r="F60" s="82" t="n"/>
    </row>
    <row r="61" ht="15" customHeight="1">
      <c r="A61" s="90" t="inlineStr">
        <is>
          <t xml:space="preserve">Immobilizzazioni </t>
        </is>
      </c>
      <c r="B61" s="170">
        <f>Input!B27</f>
        <v/>
      </c>
      <c r="C61" s="170">
        <f>Input!C27</f>
        <v/>
      </c>
      <c r="D61" s="91">
        <f>IFERROR((B61-C61)/C61,"")</f>
        <v/>
      </c>
      <c r="E61" s="82" t="n"/>
      <c r="F61" s="82" t="n"/>
    </row>
    <row r="62" ht="15" customHeight="1">
      <c r="A62" s="92" t="inlineStr">
        <is>
          <t>% Immob. su attivo</t>
        </is>
      </c>
      <c r="B62" s="93">
        <f>B$61/B$73</f>
        <v/>
      </c>
      <c r="C62" s="93">
        <f>C$61/C$73</f>
        <v/>
      </c>
      <c r="D62" s="94" t="n"/>
      <c r="E62" s="82" t="n"/>
      <c r="F62" s="82" t="n"/>
    </row>
    <row r="63" ht="15" customHeight="1">
      <c r="A63" s="90" t="inlineStr">
        <is>
          <t>Rimanenze</t>
        </is>
      </c>
      <c r="B63" s="170">
        <f>Input!B28</f>
        <v/>
      </c>
      <c r="C63" s="170">
        <f>Input!C28</f>
        <v/>
      </c>
      <c r="D63" s="91">
        <f>IFERROR((B63-C63)/C63,"")</f>
        <v/>
      </c>
      <c r="E63" s="82" t="n"/>
      <c r="F63" s="82" t="n"/>
    </row>
    <row r="64" ht="15" customHeight="1">
      <c r="A64" s="92" t="inlineStr">
        <is>
          <t>% Rimanenze su attivo</t>
        </is>
      </c>
      <c r="B64" s="93">
        <f>B$63/B$73</f>
        <v/>
      </c>
      <c r="C64" s="93">
        <f>C$63/C$73</f>
        <v/>
      </c>
      <c r="D64" s="94" t="n"/>
      <c r="E64" s="82" t="n"/>
      <c r="F64" s="82" t="n"/>
    </row>
    <row r="65" ht="15" customHeight="1">
      <c r="A65" s="90" t="inlineStr">
        <is>
          <t>Crediti</t>
        </is>
      </c>
      <c r="B65" s="170">
        <f>Input!B29</f>
        <v/>
      </c>
      <c r="C65" s="170">
        <f>Input!C29</f>
        <v/>
      </c>
      <c r="D65" s="91">
        <f>IFERROR((B65-C65)/C65,"")</f>
        <v/>
      </c>
      <c r="E65" s="82" t="n"/>
      <c r="F65" s="82" t="n"/>
    </row>
    <row r="66" ht="15" customHeight="1">
      <c r="A66" s="92" t="inlineStr">
        <is>
          <t>% Crediti su attivo</t>
        </is>
      </c>
      <c r="B66" s="93">
        <f>B$65/B$73</f>
        <v/>
      </c>
      <c r="C66" s="93">
        <f>C$65/C$73</f>
        <v/>
      </c>
      <c r="D66" s="94" t="n"/>
      <c r="E66" s="82" t="n"/>
      <c r="F66" s="82" t="n"/>
    </row>
    <row r="67" ht="15" customHeight="1">
      <c r="A67" s="90" t="inlineStr">
        <is>
          <t>Attività Finanziarie</t>
        </is>
      </c>
      <c r="B67" s="170">
        <f>Input!B30</f>
        <v/>
      </c>
      <c r="C67" s="170">
        <f>Input!C30</f>
        <v/>
      </c>
      <c r="D67" s="91">
        <f>IFERROR((B67-C67)/C67,"")</f>
        <v/>
      </c>
      <c r="E67" s="82" t="n"/>
      <c r="F67" s="82" t="n"/>
    </row>
    <row r="68" ht="15" customHeight="1">
      <c r="A68" s="92" t="inlineStr">
        <is>
          <t>% Attivittà Finanziarie su attivo</t>
        </is>
      </c>
      <c r="B68" s="93">
        <f>B$67/B$73</f>
        <v/>
      </c>
      <c r="C68" s="93">
        <f>C$67/C$73</f>
        <v/>
      </c>
      <c r="D68" s="94" t="n"/>
      <c r="E68" s="82" t="n"/>
      <c r="F68" s="82" t="n"/>
    </row>
    <row r="69" ht="15" customHeight="1">
      <c r="A69" s="90" t="inlineStr">
        <is>
          <t>Disponibilità Liquide</t>
        </is>
      </c>
      <c r="B69" s="170">
        <f>Input!B31</f>
        <v/>
      </c>
      <c r="C69" s="170">
        <f>Input!C31</f>
        <v/>
      </c>
      <c r="D69" s="91">
        <f>IFERROR((B69-C69)/C69,"")</f>
        <v/>
      </c>
      <c r="E69" s="82" t="n"/>
      <c r="F69" s="82" t="n"/>
    </row>
    <row r="70" ht="15" customHeight="1">
      <c r="A70" s="92" t="inlineStr">
        <is>
          <t>% Disp. Liq. su attivo</t>
        </is>
      </c>
      <c r="B70" s="93">
        <f>B$69/B$73</f>
        <v/>
      </c>
      <c r="C70" s="93">
        <f>C$69/C$73</f>
        <v/>
      </c>
      <c r="D70" s="94" t="n"/>
      <c r="E70" s="82" t="n"/>
      <c r="F70" s="82" t="n"/>
    </row>
    <row r="71" ht="15" customHeight="1">
      <c r="A71" s="90" t="inlineStr">
        <is>
          <t>Ratei e Risconti Attivi</t>
        </is>
      </c>
      <c r="B71" s="170">
        <f>Input!B32</f>
        <v/>
      </c>
      <c r="C71" s="170">
        <f>Input!C32</f>
        <v/>
      </c>
      <c r="D71" s="91">
        <f>IFERROR((B71-C71)/C71,"")</f>
        <v/>
      </c>
      <c r="E71" s="82" t="n"/>
      <c r="F71" s="82" t="n"/>
    </row>
    <row r="72" ht="16" customHeight="1" thickBot="1">
      <c r="A72" s="95" t="inlineStr">
        <is>
          <t>% Ratei e Risconti attivi su attivo</t>
        </is>
      </c>
      <c r="B72" s="96">
        <f>B$71/B$73</f>
        <v/>
      </c>
      <c r="C72" s="96">
        <f>C$71/C$73</f>
        <v/>
      </c>
      <c r="D72" s="97" t="n"/>
      <c r="E72" s="82" t="n"/>
      <c r="F72" s="82" t="n"/>
    </row>
    <row r="73" ht="15.5" customHeight="1" thickTop="1">
      <c r="A73" s="90" t="inlineStr">
        <is>
          <t>Totale Attivo</t>
        </is>
      </c>
      <c r="B73" s="171">
        <f>Input!B33</f>
        <v/>
      </c>
      <c r="C73" s="171">
        <f>Input!C33</f>
        <v/>
      </c>
      <c r="D73" s="91">
        <f>IFERROR((B73-C73)/C73,"")</f>
        <v/>
      </c>
      <c r="E73" s="82" t="n"/>
      <c r="F73" s="82" t="n"/>
    </row>
    <row r="74" ht="11" customHeight="1">
      <c r="A74" s="88" t="n"/>
      <c r="B74" s="89" t="n"/>
      <c r="C74" s="89" t="n"/>
      <c r="D74" s="94" t="n"/>
      <c r="E74" s="82" t="n"/>
      <c r="F74" s="82" t="n"/>
    </row>
    <row r="75" ht="15" customHeight="1">
      <c r="A75" s="144" t="inlineStr">
        <is>
          <t>Passivo</t>
        </is>
      </c>
      <c r="B75" s="145" t="n"/>
      <c r="C75" s="145" t="n"/>
      <c r="D75" s="145" t="n"/>
      <c r="E75" s="82" t="n"/>
      <c r="F75" s="82" t="n"/>
    </row>
    <row r="76" ht="15" customHeight="1">
      <c r="A76" s="98" t="inlineStr">
        <is>
          <t>Patrimonio Netto</t>
        </is>
      </c>
      <c r="B76" s="172">
        <f>Input!B34</f>
        <v/>
      </c>
      <c r="C76" s="172">
        <f>Input!C34</f>
        <v/>
      </c>
      <c r="D76" s="99">
        <f>IFERROR((B76-C76)/C76,"")</f>
        <v/>
      </c>
      <c r="E76" s="82" t="n"/>
      <c r="F76" s="82" t="n"/>
    </row>
    <row r="77" ht="15" customHeight="1">
      <c r="A77" s="92" t="inlineStr">
        <is>
          <t>% Tot. Patr. Netto su Tot. Passivo</t>
        </is>
      </c>
      <c r="B77" s="93">
        <f>B$76/B$73</f>
        <v/>
      </c>
      <c r="C77" s="93">
        <f>C$76/C$73</f>
        <v/>
      </c>
      <c r="D77" s="94" t="n"/>
      <c r="E77" s="82" t="n"/>
      <c r="F77" s="82" t="n"/>
    </row>
    <row r="78" ht="15" customHeight="1">
      <c r="A78" s="90" t="inlineStr">
        <is>
          <t>Fondi per rischi e oneri</t>
        </is>
      </c>
      <c r="B78" s="170">
        <f>Input!B35</f>
        <v/>
      </c>
      <c r="C78" s="170">
        <f>Input!C35</f>
        <v/>
      </c>
      <c r="D78" s="91">
        <f>IFERROR((B78-C78)/C78,"")</f>
        <v/>
      </c>
      <c r="E78" s="82" t="n"/>
      <c r="F78" s="82" t="n"/>
    </row>
    <row r="79" ht="15" customHeight="1">
      <c r="A79" s="92" t="inlineStr">
        <is>
          <t>% Fondi per rischi e oneri su Tot. Passivo</t>
        </is>
      </c>
      <c r="B79" s="93">
        <f>B$78/B$73</f>
        <v/>
      </c>
      <c r="C79" s="93">
        <f>C$78/C$73</f>
        <v/>
      </c>
      <c r="D79" s="94" t="n"/>
      <c r="E79" s="82" t="n"/>
      <c r="F79" s="82" t="n"/>
    </row>
    <row r="80" ht="15" customHeight="1">
      <c r="A80" s="90" t="inlineStr">
        <is>
          <t>TFR</t>
        </is>
      </c>
      <c r="B80" s="170">
        <f>Input!B36</f>
        <v/>
      </c>
      <c r="C80" s="170">
        <f>Input!C36</f>
        <v/>
      </c>
      <c r="D80" s="91">
        <f>IFERROR((B80-C80)/C80,"")</f>
        <v/>
      </c>
      <c r="E80" s="82" t="n"/>
      <c r="F80" s="82" t="n"/>
    </row>
    <row r="81" ht="15" customHeight="1">
      <c r="A81" s="92" t="inlineStr">
        <is>
          <t>% TFR su Tot. Passivo</t>
        </is>
      </c>
      <c r="B81" s="93">
        <f>B$80/B$73</f>
        <v/>
      </c>
      <c r="C81" s="93">
        <f>C$80/C$73</f>
        <v/>
      </c>
      <c r="D81" s="94" t="n"/>
      <c r="E81" s="82" t="n"/>
      <c r="F81" s="82" t="n"/>
    </row>
    <row r="82" ht="15" customHeight="1">
      <c r="A82" s="90" t="inlineStr">
        <is>
          <t xml:space="preserve">Debiti </t>
        </is>
      </c>
      <c r="B82" s="170">
        <f>Input!E37</f>
        <v/>
      </c>
      <c r="C82" s="170">
        <f>Input!F37</f>
        <v/>
      </c>
      <c r="D82" s="91">
        <f>IFERROR((B82-C82)/C82,"")</f>
        <v/>
      </c>
      <c r="E82" s="82" t="n"/>
      <c r="F82" s="82" t="n"/>
    </row>
    <row r="83" ht="15" customHeight="1">
      <c r="A83" s="100" t="inlineStr">
        <is>
          <t>-Debiti a BT</t>
        </is>
      </c>
      <c r="B83" s="170">
        <f>Input!E38</f>
        <v/>
      </c>
      <c r="C83" s="170">
        <f>Input!F38</f>
        <v/>
      </c>
      <c r="D83" s="91">
        <f>IFERROR((B83-C83)/C83,"")</f>
        <v/>
      </c>
      <c r="E83" s="82" t="n"/>
      <c r="F83" s="82" t="n"/>
    </row>
    <row r="84" ht="15" customHeight="1">
      <c r="A84" s="100" t="inlineStr">
        <is>
          <t>-Debiti a LT</t>
        </is>
      </c>
      <c r="B84" s="170">
        <f>Input!E39</f>
        <v/>
      </c>
      <c r="C84" s="170">
        <f>Input!F39</f>
        <v/>
      </c>
      <c r="D84" s="91">
        <f>IFERROR((B84-C84)/C84,"")</f>
        <v/>
      </c>
      <c r="E84" s="82" t="n"/>
      <c r="F84" s="82" t="n"/>
    </row>
    <row r="85" ht="15" customHeight="1">
      <c r="A85" s="92" t="inlineStr">
        <is>
          <t>% Tot. Debiti su Tot. Passivo</t>
        </is>
      </c>
      <c r="B85" s="93">
        <f>B$82/B$73</f>
        <v/>
      </c>
      <c r="C85" s="93">
        <f>C$82/C$73</f>
        <v/>
      </c>
      <c r="D85" s="94" t="n"/>
      <c r="E85" s="82" t="n"/>
      <c r="F85" s="82" t="n"/>
    </row>
    <row r="86" ht="15" customHeight="1">
      <c r="A86" s="90" t="inlineStr">
        <is>
          <t>Debiti Finanziari</t>
        </is>
      </c>
      <c r="B86" s="170">
        <f>Input!B40</f>
        <v/>
      </c>
      <c r="C86" s="170">
        <f>Input!C40</f>
        <v/>
      </c>
      <c r="D86" s="91">
        <f>IFERROR((B86-C86)/C86,"")</f>
        <v/>
      </c>
      <c r="E86" s="82" t="n"/>
      <c r="F86" s="82" t="n"/>
    </row>
    <row r="87" ht="15" customHeight="1">
      <c r="A87" s="100" t="inlineStr">
        <is>
          <t>-Debiti Finanziari a BT</t>
        </is>
      </c>
      <c r="B87" s="170">
        <f>Input!B41</f>
        <v/>
      </c>
      <c r="C87" s="170">
        <f>Input!C41</f>
        <v/>
      </c>
      <c r="D87" s="91">
        <f>IFERROR((B87-C87)/C87,"")</f>
        <v/>
      </c>
      <c r="E87" s="82" t="n"/>
      <c r="F87" s="82" t="n"/>
    </row>
    <row r="88" ht="15" customHeight="1">
      <c r="A88" s="100" t="inlineStr">
        <is>
          <t>-Debiti Finanziari a LT</t>
        </is>
      </c>
      <c r="B88" s="170">
        <f>Input!B42</f>
        <v/>
      </c>
      <c r="C88" s="170">
        <f>Input!C42</f>
        <v/>
      </c>
      <c r="D88" s="91">
        <f>IFERROR((B88-C88)/C88,"")</f>
        <v/>
      </c>
      <c r="E88" s="82" t="n"/>
      <c r="F88" s="82" t="n"/>
    </row>
    <row r="89" ht="15" customHeight="1">
      <c r="A89" s="92" t="inlineStr">
        <is>
          <t>% Debiti Finanz. su Tot. Passivo</t>
        </is>
      </c>
      <c r="B89" s="93">
        <f>B$86/B$73</f>
        <v/>
      </c>
      <c r="C89" s="93">
        <f>C$86/C$73</f>
        <v/>
      </c>
      <c r="D89" s="89" t="n"/>
      <c r="E89" s="82" t="n"/>
      <c r="F89" s="82" t="n"/>
    </row>
    <row r="90" ht="15" customHeight="1">
      <c r="A90" s="100" t="inlineStr">
        <is>
          <t>Ratei e Risconti Passivi</t>
        </is>
      </c>
      <c r="B90" s="170">
        <f>Input!B43</f>
        <v/>
      </c>
      <c r="C90" s="170">
        <f>Input!C43</f>
        <v/>
      </c>
      <c r="D90" s="91">
        <f>IFERROR((B90-C90)/C90,"")</f>
        <v/>
      </c>
      <c r="E90" s="82" t="n"/>
      <c r="F90" s="82" t="n"/>
    </row>
    <row r="91" ht="15" customHeight="1">
      <c r="A91" s="101" t="inlineStr">
        <is>
          <t>% Ratei e Risconti Passivi su Tot. Passivo</t>
        </is>
      </c>
      <c r="B91" s="102">
        <f>B$90/B$73</f>
        <v/>
      </c>
      <c r="C91" s="102">
        <f>C$90/C$73</f>
        <v/>
      </c>
      <c r="D91" s="103" t="n"/>
      <c r="E91" s="82" t="n"/>
      <c r="F91" s="82" t="n"/>
    </row>
    <row r="92" ht="9" customHeight="1">
      <c r="A92" s="104" t="n"/>
      <c r="B92" s="84" t="n"/>
      <c r="C92" s="84" t="n"/>
      <c r="D92" s="84" t="n"/>
      <c r="E92" s="82" t="n"/>
      <c r="F92" s="82" t="n"/>
    </row>
    <row r="93" ht="3" customHeight="1">
      <c r="A93" s="105" t="n"/>
      <c r="B93" s="84" t="n"/>
      <c r="C93" s="84" t="n"/>
      <c r="D93" s="84" t="n"/>
      <c r="E93" s="82" t="n"/>
      <c r="F93" s="82" t="n"/>
    </row>
    <row r="94" ht="6.75" customHeight="1">
      <c r="A94" s="106" t="n"/>
      <c r="B94" s="107" t="n"/>
      <c r="C94" s="107" t="n"/>
      <c r="D94" s="84" t="n"/>
      <c r="E94" s="82" t="n"/>
      <c r="F94" s="82" t="n"/>
    </row>
    <row r="95" ht="17.5" customHeight="1">
      <c r="A95" s="124" t="inlineStr">
        <is>
          <t>CONTO ECONOMICO</t>
        </is>
      </c>
      <c r="B95" s="125" t="n"/>
      <c r="C95" s="125" t="n"/>
      <c r="D95" s="123" t="n"/>
      <c r="E95" s="82" t="n"/>
      <c r="F95" s="82" t="n"/>
    </row>
    <row r="96" ht="17" customHeight="1">
      <c r="A96" s="142" t="inlineStr">
        <is>
          <t>Voce</t>
        </is>
      </c>
      <c r="B96" s="143">
        <f>Input!$B$6</f>
        <v/>
      </c>
      <c r="C96" s="143">
        <f>Input!$C$6</f>
        <v/>
      </c>
      <c r="D96" s="146" t="inlineStr">
        <is>
          <t>Var %</t>
        </is>
      </c>
      <c r="E96" s="82" t="n"/>
      <c r="F96" s="82" t="n"/>
    </row>
    <row r="97" ht="10.25" customHeight="1">
      <c r="A97" s="88" t="n"/>
      <c r="B97" s="89" t="n"/>
      <c r="C97" s="89" t="n"/>
      <c r="D97" s="89" t="n"/>
      <c r="E97" s="82" t="n"/>
      <c r="F97" s="82" t="n"/>
    </row>
    <row r="98" ht="15" customHeight="1">
      <c r="A98" s="90" t="inlineStr">
        <is>
          <t>Valore della Produzione</t>
        </is>
      </c>
      <c r="B98" s="170">
        <f>Input!B7</f>
        <v/>
      </c>
      <c r="C98" s="170">
        <f>Input!C7</f>
        <v/>
      </c>
      <c r="D98" s="91">
        <f>IFERROR((B98-C98)/C98,"")</f>
        <v/>
      </c>
      <c r="E98" s="82" t="n"/>
      <c r="F98" s="82" t="n"/>
    </row>
    <row r="99" ht="15" customHeight="1">
      <c r="A99" s="100" t="inlineStr">
        <is>
          <t>-Ricavi di vendita</t>
        </is>
      </c>
      <c r="B99" s="170">
        <f>Input!B8</f>
        <v/>
      </c>
      <c r="C99" s="170">
        <f>Input!C8</f>
        <v/>
      </c>
      <c r="D99" s="91">
        <f>IFERROR((B99-C99)/C99,"")</f>
        <v/>
      </c>
      <c r="E99" s="82" t="n"/>
      <c r="F99" s="82" t="n"/>
    </row>
    <row r="100" ht="15" customHeight="1">
      <c r="A100" s="90" t="inlineStr">
        <is>
          <t>Costi della Produzione</t>
        </is>
      </c>
      <c r="B100" s="170">
        <f>Input!B9</f>
        <v/>
      </c>
      <c r="C100" s="170">
        <f>Input!C9</f>
        <v/>
      </c>
      <c r="D100" s="91">
        <f>IFERROR((B100-C100)/C100,"")</f>
        <v/>
      </c>
      <c r="E100" s="82" t="n"/>
      <c r="F100" s="82" t="n"/>
    </row>
    <row r="101" ht="15" customHeight="1">
      <c r="A101" s="100" t="inlineStr">
        <is>
          <t xml:space="preserve">-Costi per Materie </t>
        </is>
      </c>
      <c r="B101" s="170">
        <f>Input!B10</f>
        <v/>
      </c>
      <c r="C101" s="170">
        <f>Input!C10</f>
        <v/>
      </c>
      <c r="D101" s="91">
        <f>IFERROR((B101-C101)/C101,"")</f>
        <v/>
      </c>
      <c r="E101" s="82" t="n"/>
      <c r="F101" s="82" t="n"/>
    </row>
    <row r="102" ht="15" customHeight="1">
      <c r="A102" s="92" t="inlineStr">
        <is>
          <t>% Costi Materie su Costi prod.</t>
        </is>
      </c>
      <c r="B102" s="108">
        <f>B$101/B$100</f>
        <v/>
      </c>
      <c r="C102" s="108">
        <f>C$101/C$100</f>
        <v/>
      </c>
      <c r="D102" s="109" t="n"/>
      <c r="E102" s="82" t="n"/>
      <c r="F102" s="82" t="n"/>
    </row>
    <row r="103" ht="15" customHeight="1">
      <c r="A103" s="100" t="inlineStr">
        <is>
          <t>-Costi per Servizi</t>
        </is>
      </c>
      <c r="B103" s="170">
        <f>Input!B11</f>
        <v/>
      </c>
      <c r="C103" s="170">
        <f>Input!C11</f>
        <v/>
      </c>
      <c r="D103" s="91">
        <f>IFERROR((B103-C103)/C103,"")</f>
        <v/>
      </c>
      <c r="E103" s="82" t="n"/>
      <c r="F103" s="82" t="n"/>
    </row>
    <row r="104" ht="15" customHeight="1">
      <c r="A104" s="92" t="inlineStr">
        <is>
          <t>% Costi Servizi su Costi prod.</t>
        </is>
      </c>
      <c r="B104" s="108">
        <f>B103/B100</f>
        <v/>
      </c>
      <c r="C104" s="108">
        <f>C103/C100</f>
        <v/>
      </c>
      <c r="D104" s="109" t="n"/>
      <c r="E104" s="82" t="n"/>
      <c r="F104" s="82" t="n"/>
    </row>
    <row r="105" ht="15" customHeight="1">
      <c r="A105" s="100" t="inlineStr">
        <is>
          <t>-Costi per godimento beni di terzi</t>
        </is>
      </c>
      <c r="B105" s="170">
        <f>Input!B12</f>
        <v/>
      </c>
      <c r="C105" s="170">
        <f>Input!C12</f>
        <v/>
      </c>
      <c r="D105" s="91">
        <f>IFERROR((B105-C105)/C105,"")</f>
        <v/>
      </c>
      <c r="E105" s="82" t="n"/>
      <c r="F105" s="82" t="n"/>
    </row>
    <row r="106" ht="15" customHeight="1">
      <c r="A106" s="92" t="inlineStr">
        <is>
          <t>% Costi Servizi su Costi prod.</t>
        </is>
      </c>
      <c r="B106" s="108">
        <f>B$105/B$100</f>
        <v/>
      </c>
      <c r="C106" s="108">
        <f>C$105/C$100</f>
        <v/>
      </c>
      <c r="D106" s="109" t="n"/>
      <c r="E106" s="82" t="n"/>
      <c r="F106" s="82" t="n"/>
    </row>
    <row r="107" ht="15" customHeight="1">
      <c r="A107" s="100" t="inlineStr">
        <is>
          <t>-Costi Personale</t>
        </is>
      </c>
      <c r="B107" s="170">
        <f>Input!B13</f>
        <v/>
      </c>
      <c r="C107" s="170">
        <f>Input!C13</f>
        <v/>
      </c>
      <c r="D107" s="91">
        <f>IFERROR((B107-C107)/C107,"")</f>
        <v/>
      </c>
      <c r="E107" s="82" t="n"/>
      <c r="F107" s="82" t="n"/>
    </row>
    <row r="108" ht="15" customHeight="1">
      <c r="A108" s="92" t="inlineStr">
        <is>
          <t>% Costi Personale su Costi prod.</t>
        </is>
      </c>
      <c r="B108" s="108">
        <f>B107/B100</f>
        <v/>
      </c>
      <c r="C108" s="108">
        <f>C107/C100</f>
        <v/>
      </c>
      <c r="D108" s="109" t="n"/>
      <c r="E108" s="82" t="n"/>
      <c r="F108" s="82" t="n"/>
    </row>
    <row r="109" ht="15" customHeight="1">
      <c r="A109" s="100" t="inlineStr">
        <is>
          <t>-Ammortamenti</t>
        </is>
      </c>
      <c r="B109" s="170">
        <f>Input!B14</f>
        <v/>
      </c>
      <c r="C109" s="170">
        <f>Input!C14</f>
        <v/>
      </c>
      <c r="D109" s="91">
        <f>IFERROR((B109-C109)/C109,"")</f>
        <v/>
      </c>
      <c r="E109" s="82" t="n"/>
      <c r="F109" s="82" t="n"/>
    </row>
    <row r="110" ht="15" customHeight="1">
      <c r="A110" s="92" t="inlineStr">
        <is>
          <t>% Ammortamenti su Costi prod.</t>
        </is>
      </c>
      <c r="B110" s="108">
        <f>B$109/B$100</f>
        <v/>
      </c>
      <c r="C110" s="108">
        <f>C$109/C$100</f>
        <v/>
      </c>
      <c r="D110" s="109" t="n"/>
      <c r="E110" s="82" t="n"/>
      <c r="F110" s="82" t="n"/>
    </row>
    <row r="111" ht="15" customHeight="1">
      <c r="A111" s="100" t="inlineStr">
        <is>
          <t>-Accantonamenti per rischi</t>
        </is>
      </c>
      <c r="B111" s="170">
        <f>Input!B15</f>
        <v/>
      </c>
      <c r="C111" s="170">
        <f>Input!C15</f>
        <v/>
      </c>
      <c r="D111" s="91">
        <f>IFERROR((B111-C111)/C111,"")</f>
        <v/>
      </c>
      <c r="E111" s="82" t="n"/>
      <c r="F111" s="82" t="n"/>
    </row>
    <row r="112" ht="15" customHeight="1">
      <c r="A112" s="92" t="inlineStr">
        <is>
          <t>% Accantonamenti per rischi su Costi prod.</t>
        </is>
      </c>
      <c r="B112" s="108">
        <f>$B$111/$B$100</f>
        <v/>
      </c>
      <c r="C112" s="108">
        <f>$B$111/$B$100</f>
        <v/>
      </c>
      <c r="D112" s="109" t="n"/>
      <c r="E112" s="82" t="n"/>
      <c r="F112" s="82" t="n"/>
    </row>
    <row r="113" ht="15" customHeight="1">
      <c r="A113" s="100" t="inlineStr">
        <is>
          <t>-Oneri diversi di gestione</t>
        </is>
      </c>
      <c r="B113" s="170">
        <f>Input!B16</f>
        <v/>
      </c>
      <c r="C113" s="170">
        <f>Input!C16</f>
        <v/>
      </c>
      <c r="D113" s="91">
        <f>IFERROR((B113-C113)/C113,"")</f>
        <v/>
      </c>
      <c r="E113" s="82" t="n"/>
      <c r="F113" s="82" t="n"/>
    </row>
    <row r="114" ht="16" customHeight="1" thickBot="1">
      <c r="A114" s="95" t="inlineStr">
        <is>
          <t>% Oneri diversi di gestione su Costi prod.</t>
        </is>
      </c>
      <c r="B114" s="110">
        <f>B$113/B$100</f>
        <v/>
      </c>
      <c r="C114" s="110">
        <f>C$113/C$100</f>
        <v/>
      </c>
      <c r="D114" s="111" t="n"/>
      <c r="E114" s="82" t="n"/>
      <c r="F114" s="82" t="n"/>
    </row>
    <row r="115" ht="18" customHeight="1" thickTop="1">
      <c r="A115" s="90" t="inlineStr">
        <is>
          <t>EBIT</t>
        </is>
      </c>
      <c r="B115" s="171">
        <f>Input!B17</f>
        <v/>
      </c>
      <c r="C115" s="171">
        <f>Input!C17</f>
        <v/>
      </c>
      <c r="D115" s="91">
        <f>IFERROR((B115-C115)/C115,"")</f>
        <v/>
      </c>
      <c r="E115" s="82" t="n"/>
      <c r="F115" s="82" t="n"/>
    </row>
    <row r="116" ht="15" customHeight="1">
      <c r="A116" s="92" t="inlineStr">
        <is>
          <t>% EBIT su Valore Produzione</t>
        </is>
      </c>
      <c r="B116" s="108">
        <f>B$115/B$98</f>
        <v/>
      </c>
      <c r="C116" s="108">
        <f>C$115/C$98</f>
        <v/>
      </c>
      <c r="D116" s="89" t="n"/>
      <c r="E116" s="82" t="n"/>
      <c r="F116" s="82" t="n"/>
    </row>
    <row r="117" ht="15" customHeight="1">
      <c r="A117" s="90" t="inlineStr">
        <is>
          <t>Proventi Finanziari</t>
        </is>
      </c>
      <c r="B117" s="170">
        <f>Input!B18</f>
        <v/>
      </c>
      <c r="C117" s="170">
        <f>Input!C18</f>
        <v/>
      </c>
      <c r="D117" s="91">
        <f>IFERROR((B117-C117)/C117,"")</f>
        <v/>
      </c>
      <c r="E117" s="82" t="n"/>
      <c r="F117" s="82" t="n"/>
    </row>
    <row r="118" ht="16" customHeight="1" thickBot="1">
      <c r="A118" s="90" t="inlineStr">
        <is>
          <t>Oneri Finanziari</t>
        </is>
      </c>
      <c r="B118" s="174">
        <f>Input!B19</f>
        <v/>
      </c>
      <c r="C118" s="174">
        <f>Input!C19</f>
        <v/>
      </c>
      <c r="D118" s="112">
        <f>IFERROR((B118-C118)/C118,"")</f>
        <v/>
      </c>
      <c r="E118" s="82" t="n"/>
      <c r="F118" s="82" t="n"/>
    </row>
    <row r="119" ht="16" customHeight="1" thickTop="1">
      <c r="A119" s="113" t="inlineStr">
        <is>
          <t>Utile (Perdita) dell'esercizio</t>
        </is>
      </c>
      <c r="B119" s="173">
        <f>Input!B20</f>
        <v/>
      </c>
      <c r="C119" s="173">
        <f>Input!C20</f>
        <v/>
      </c>
      <c r="D119" s="114">
        <f>IFERROR((B119-C119)/C119,"")</f>
        <v/>
      </c>
      <c r="E119" s="82" t="n"/>
      <c r="F119" s="82" t="n"/>
    </row>
    <row r="120" ht="13.25" customHeight="1">
      <c r="A120" s="167" t="inlineStr">
        <is>
          <t>Dipendenti</t>
        </is>
      </c>
      <c r="B120" s="168">
        <f>Input!B21</f>
        <v/>
      </c>
      <c r="C120" s="168">
        <f>Input!C21</f>
        <v/>
      </c>
      <c r="D120" s="169">
        <f>IFERROR((B120-C120)/C120,"")</f>
        <v/>
      </c>
      <c r="E120" s="82" t="n"/>
      <c r="F120" s="82" t="n"/>
    </row>
    <row r="121" ht="9" customHeight="1">
      <c r="A121" s="82" t="n"/>
      <c r="B121" s="82" t="n"/>
      <c r="C121" s="82" t="n"/>
      <c r="D121" s="82" t="n"/>
      <c r="E121" s="82" t="n"/>
      <c r="F121" s="82" t="n"/>
    </row>
    <row r="122" ht="8.25" customHeight="1" thickBot="1">
      <c r="A122" s="82" t="n"/>
      <c r="B122" s="82" t="n"/>
      <c r="C122" s="82" t="n"/>
      <c r="D122" s="82" t="n"/>
      <c r="E122" s="82" t="n"/>
      <c r="F122" s="82" t="n"/>
    </row>
    <row r="123" ht="15" customHeight="1">
      <c r="A123" s="157" t="inlineStr">
        <is>
          <t>INDICI</t>
        </is>
      </c>
      <c r="B123" s="126">
        <f>$B$96</f>
        <v/>
      </c>
      <c r="C123" s="151">
        <f>$C$96</f>
        <v/>
      </c>
      <c r="D123" s="126" t="n"/>
      <c r="E123" s="82" t="n"/>
      <c r="F123" s="82" t="n"/>
    </row>
    <row r="124" ht="11.5" customHeight="1">
      <c r="A124" s="89" t="n"/>
      <c r="B124" s="89" t="n"/>
      <c r="C124" s="115" t="n"/>
      <c r="D124" s="89" t="n"/>
      <c r="E124" s="82" t="n"/>
      <c r="F124" s="82" t="n"/>
    </row>
    <row r="125" ht="15" customHeight="1">
      <c r="A125" s="158" t="inlineStr">
        <is>
          <t>Liquidità</t>
        </is>
      </c>
      <c r="B125" s="161" t="n"/>
      <c r="C125" s="147" t="n"/>
      <c r="D125" s="163" t="n"/>
      <c r="E125" s="82" t="n"/>
      <c r="F125" s="82" t="n"/>
    </row>
    <row r="126" ht="15" customHeight="1">
      <c r="A126" s="159" t="inlineStr">
        <is>
          <t xml:space="preserve">Test Acido </t>
        </is>
      </c>
      <c r="B126" s="116">
        <f>(B65+B69+B71)/(B83+B87)</f>
        <v/>
      </c>
      <c r="C126" s="152">
        <f>(C65+C69+C71)/(C83+C87)</f>
        <v/>
      </c>
      <c r="D126" s="164">
        <f>+B126-C126</f>
        <v/>
      </c>
      <c r="E126" s="82" t="n"/>
      <c r="F126" s="82" t="n"/>
    </row>
    <row r="127" ht="15" customHeight="1">
      <c r="A127" s="159" t="inlineStr">
        <is>
          <t>Current Ratio</t>
        </is>
      </c>
      <c r="B127" s="116">
        <f>(B63+B65+B69+B71)/(B83+B87)</f>
        <v/>
      </c>
      <c r="C127" s="152">
        <f>(C63+C65+C69+C71)/(C83+C87)</f>
        <v/>
      </c>
      <c r="D127" s="164">
        <f>+B127-C127</f>
        <v/>
      </c>
      <c r="E127" s="82" t="n"/>
      <c r="F127" s="82" t="n"/>
    </row>
    <row r="128" ht="15" customHeight="1">
      <c r="A128" s="158" t="inlineStr">
        <is>
          <t>Indeb. e sostenibilità del debito</t>
        </is>
      </c>
      <c r="B128" s="162" t="n"/>
      <c r="C128" s="148" t="n"/>
      <c r="D128" s="163" t="n"/>
      <c r="E128" s="82" t="n"/>
      <c r="F128" s="82" t="n"/>
    </row>
    <row r="129" ht="15" customHeight="1">
      <c r="A129" s="159" t="inlineStr">
        <is>
          <t>Rapporto Indebitamento</t>
        </is>
      </c>
      <c r="B129" s="116">
        <f>IF(B86=0,B82/B76,B86/B76)</f>
        <v/>
      </c>
      <c r="C129" s="152">
        <f>IF(C86=0,C82/C76,C86/C76)</f>
        <v/>
      </c>
      <c r="D129" s="164">
        <f>+B129-C129</f>
        <v/>
      </c>
      <c r="E129" s="82" t="n"/>
      <c r="F129" s="82" t="n"/>
    </row>
    <row r="130" ht="15" customHeight="1">
      <c r="A130" s="159" t="inlineStr">
        <is>
          <t>PFN</t>
        </is>
      </c>
      <c r="B130" s="118">
        <f>IF(B86=0,"Non Calcolabile",B69+B67-B86)</f>
        <v/>
      </c>
      <c r="C130" s="154">
        <f>IF(C86=0,"Non Calcolabile",C69+C67-C86)</f>
        <v/>
      </c>
      <c r="D130" s="164">
        <f>+B130-C130</f>
        <v/>
      </c>
      <c r="E130" s="82" t="n"/>
      <c r="F130" s="82" t="n"/>
    </row>
    <row r="131" ht="15" customHeight="1">
      <c r="A131" s="159" t="inlineStr">
        <is>
          <t>PFN/EBITDA</t>
        </is>
      </c>
      <c r="B131" s="116">
        <f>IF(B130="Non Calcolabile","Non Calcolabile",B130/B136)</f>
        <v/>
      </c>
      <c r="C131" s="152">
        <f>IF(C130="Non Calcolabile","Non Calcolabile",C130/C136)</f>
        <v/>
      </c>
      <c r="D131" s="89" t="n"/>
      <c r="E131" s="82" t="n"/>
      <c r="F131" s="82" t="n"/>
    </row>
    <row r="132" ht="15" customHeight="1">
      <c r="A132" s="158" t="inlineStr">
        <is>
          <t>Redditività</t>
        </is>
      </c>
      <c r="B132" s="162" t="n"/>
      <c r="C132" s="148" t="n"/>
      <c r="D132" s="163" t="n"/>
      <c r="E132" s="82" t="n"/>
      <c r="F132" s="82" t="n"/>
    </row>
    <row r="133" ht="15" customHeight="1">
      <c r="A133" s="159" t="inlineStr">
        <is>
          <t>ROS</t>
        </is>
      </c>
      <c r="B133" s="117">
        <f>B115/B99</f>
        <v/>
      </c>
      <c r="C133" s="153">
        <f>C115/C99</f>
        <v/>
      </c>
      <c r="D133" s="164">
        <f>+B133-C133</f>
        <v/>
      </c>
      <c r="E133" s="82" t="n"/>
      <c r="F133" s="82" t="n"/>
    </row>
    <row r="134" ht="15" customHeight="1">
      <c r="A134" s="159" t="inlineStr">
        <is>
          <t>ROE</t>
        </is>
      </c>
      <c r="B134" s="117">
        <f>B119/B76</f>
        <v/>
      </c>
      <c r="C134" s="153">
        <f>C119/C76</f>
        <v/>
      </c>
      <c r="D134" s="164">
        <f>+B134-C134</f>
        <v/>
      </c>
      <c r="E134" s="82" t="n"/>
      <c r="F134" s="82" t="n"/>
    </row>
    <row r="135" ht="15" customHeight="1">
      <c r="A135" s="159" t="inlineStr">
        <is>
          <t>ROI</t>
        </is>
      </c>
      <c r="B135" s="117">
        <f>B115/B73</f>
        <v/>
      </c>
      <c r="C135" s="153">
        <f>C115/C73</f>
        <v/>
      </c>
      <c r="D135" s="164">
        <f>+B135-C135</f>
        <v/>
      </c>
      <c r="E135" s="82" t="n"/>
      <c r="F135" s="82" t="n"/>
    </row>
    <row r="136" ht="15" customHeight="1">
      <c r="A136" s="159" t="inlineStr">
        <is>
          <t>EBITDA</t>
        </is>
      </c>
      <c r="B136" s="118">
        <f>B115+B109</f>
        <v/>
      </c>
      <c r="C136" s="154">
        <f>C115+C109</f>
        <v/>
      </c>
      <c r="D136" s="164">
        <f>+B136-C136</f>
        <v/>
      </c>
      <c r="E136" s="82" t="n"/>
      <c r="F136" s="82" t="n"/>
    </row>
    <row r="137" ht="15" customHeight="1">
      <c r="A137" s="158" t="inlineStr">
        <is>
          <t>Efficienza</t>
        </is>
      </c>
      <c r="B137" s="162" t="n"/>
      <c r="C137" s="148" t="n"/>
      <c r="D137" s="163" t="n"/>
      <c r="E137" s="82" t="n"/>
      <c r="F137" s="82" t="n"/>
    </row>
    <row r="138" ht="15" customHeight="1">
      <c r="A138" s="159" t="inlineStr">
        <is>
          <t>Asset Turnover (AT)</t>
        </is>
      </c>
      <c r="B138" s="116">
        <f>B99/B73</f>
        <v/>
      </c>
      <c r="C138" s="152">
        <f>C99/C73</f>
        <v/>
      </c>
      <c r="D138" s="164">
        <f>+B138-C138</f>
        <v/>
      </c>
      <c r="E138" s="82" t="n"/>
      <c r="F138" s="82" t="n"/>
    </row>
    <row r="139" ht="15" customHeight="1">
      <c r="A139" s="159" t="inlineStr">
        <is>
          <t>DSO</t>
        </is>
      </c>
      <c r="B139" s="149">
        <f>IF(Input!B45="n.d.","Non Calcolabile",Input!B45/Report!B98*365)</f>
        <v/>
      </c>
      <c r="C139" s="155">
        <f>IF(Input!C45="n.d.","Non Calcolabile",Input!C45/Report!C98*365)</f>
        <v/>
      </c>
      <c r="D139" s="164">
        <f>+B139-C139</f>
        <v/>
      </c>
      <c r="E139" s="82" t="n"/>
      <c r="F139" s="82" t="n"/>
    </row>
    <row r="140" ht="15" customHeight="1">
      <c r="A140" s="159" t="inlineStr">
        <is>
          <t>DPO</t>
        </is>
      </c>
      <c r="B140" s="149">
        <f>IF(Input!B44="n.d.","Non Calcolabile",Input!B44/Report!B100*365)</f>
        <v/>
      </c>
      <c r="C140" s="155">
        <f>IF(Input!C44="n.d.","Non Calcolabile",Input!C44/Report!C100*365)</f>
        <v/>
      </c>
      <c r="D140" s="164">
        <f>+B140-C140</f>
        <v/>
      </c>
      <c r="E140" s="82" t="n"/>
      <c r="F140" s="82" t="n"/>
    </row>
    <row r="141" ht="16.25" customHeight="1">
      <c r="A141" s="159" t="inlineStr">
        <is>
          <t>DIO</t>
        </is>
      </c>
      <c r="B141" s="149">
        <f>B63/B100*365</f>
        <v/>
      </c>
      <c r="C141" s="155">
        <f>C63/C100*365</f>
        <v/>
      </c>
      <c r="D141" s="164">
        <f>+B141-C141</f>
        <v/>
      </c>
      <c r="E141" s="82" t="n"/>
      <c r="F141" s="82" t="n"/>
    </row>
    <row r="142" ht="16" customHeight="1" thickBot="1">
      <c r="A142" s="160" t="inlineStr">
        <is>
          <t>CCC</t>
        </is>
      </c>
      <c r="B142" s="150">
        <f>IF(OR(B139="Non Calcolabile",B140="Non Calcolabile"),"Non Calcolabile",B139+B141-B140)</f>
        <v/>
      </c>
      <c r="C142" s="156">
        <f>IF(OR(C139="Non Calcolabile",C140="Non Calcolabile"),"Non Calcolabile",C139+C141-C140)</f>
        <v/>
      </c>
      <c r="D142" s="165">
        <f>+B142-C142</f>
        <v/>
      </c>
      <c r="E142" s="82" t="n"/>
      <c r="F142" s="82" t="n"/>
    </row>
    <row r="143" ht="15" customHeight="1">
      <c r="E143" s="82" t="n"/>
      <c r="F143" s="82" t="n"/>
    </row>
    <row r="144" ht="15" customHeight="1">
      <c r="E144" s="82" t="n"/>
      <c r="F144" s="82" t="n"/>
    </row>
    <row r="145" ht="15" customHeight="1">
      <c r="E145" s="82" t="n"/>
      <c r="F145" s="82" t="n"/>
    </row>
    <row r="146" ht="15" customHeight="1">
      <c r="E146" s="82" t="n"/>
      <c r="F146" s="82" t="n"/>
    </row>
    <row r="147" ht="15" customHeight="1">
      <c r="E147" s="82" t="n"/>
      <c r="F147" s="82" t="n"/>
    </row>
    <row r="148" ht="15" customHeight="1">
      <c r="E148" s="82" t="n"/>
      <c r="F148" s="82" t="n"/>
    </row>
    <row r="149" ht="15" customHeight="1">
      <c r="E149" s="82" t="n"/>
      <c r="F149" s="82" t="n"/>
    </row>
    <row r="150" ht="15" customHeight="1">
      <c r="E150" s="82" t="n"/>
      <c r="F150" s="82" t="n"/>
    </row>
    <row r="151" ht="15" customHeight="1">
      <c r="E151" s="82" t="n"/>
      <c r="F151" s="82" t="n"/>
    </row>
    <row r="152" ht="15" customHeight="1">
      <c r="E152" s="82" t="n"/>
      <c r="F152" s="82" t="n"/>
    </row>
    <row r="153" ht="15" customHeight="1">
      <c r="E153" s="82" t="n"/>
      <c r="F153" s="82" t="n"/>
    </row>
    <row r="154" ht="15" customHeight="1">
      <c r="E154" s="82" t="n"/>
      <c r="F154" s="82" t="n"/>
    </row>
    <row r="155" ht="15" customHeight="1">
      <c r="E155" s="82" t="n"/>
      <c r="F155" s="82" t="n"/>
    </row>
    <row r="156" ht="15" customHeight="1">
      <c r="E156" s="82" t="n"/>
      <c r="F156" s="82" t="n"/>
    </row>
    <row r="157" ht="15" customHeight="1">
      <c r="E157" s="82" t="n"/>
      <c r="F157" s="82" t="n"/>
    </row>
    <row r="158" ht="15" customHeight="1">
      <c r="E158" s="82" t="n"/>
      <c r="F158" s="82" t="n"/>
    </row>
    <row r="159" ht="15" customHeight="1">
      <c r="E159" s="82" t="n"/>
      <c r="F159" s="82" t="n"/>
    </row>
    <row r="160" ht="15" customHeight="1">
      <c r="E160" s="82" t="n"/>
      <c r="F160" s="82" t="n"/>
    </row>
    <row r="161" ht="15" customHeight="1">
      <c r="E161" s="82" t="n"/>
      <c r="F161" s="82" t="n"/>
    </row>
    <row r="162" ht="15" customHeight="1">
      <c r="A162" s="82" t="n"/>
      <c r="B162" s="82" t="n"/>
      <c r="C162" s="82" t="n"/>
      <c r="D162" s="82" t="n"/>
      <c r="E162" s="82" t="n"/>
      <c r="F162" s="82" t="n"/>
    </row>
    <row r="163" ht="15" customHeight="1">
      <c r="A163" s="82" t="n"/>
      <c r="B163" s="82" t="n"/>
      <c r="C163" s="82" t="n"/>
      <c r="D163" s="82" t="n"/>
      <c r="E163" s="82" t="n"/>
      <c r="F163" s="82" t="n"/>
    </row>
    <row r="164" ht="15" customHeight="1">
      <c r="A164" s="82" t="n"/>
      <c r="B164" s="82" t="n"/>
      <c r="C164" s="82" t="n"/>
      <c r="D164" s="82" t="n"/>
      <c r="E164" s="82" t="n"/>
      <c r="F164" s="82" t="n"/>
    </row>
    <row r="165" ht="15" customHeight="1">
      <c r="A165" s="82" t="n"/>
      <c r="B165" s="82" t="n"/>
      <c r="C165" s="82" t="n"/>
      <c r="D165" s="82" t="n"/>
      <c r="E165" s="82" t="n"/>
      <c r="F165" s="82" t="n"/>
    </row>
    <row r="166" ht="15" customHeight="1">
      <c r="A166" s="82" t="n"/>
      <c r="B166" s="82" t="n"/>
      <c r="C166" s="82" t="n"/>
      <c r="D166" s="82" t="n"/>
      <c r="E166" s="82" t="n"/>
      <c r="F166" s="82" t="n"/>
    </row>
    <row r="167" ht="15" customHeight="1">
      <c r="A167" s="82" t="n"/>
      <c r="B167" s="82" t="n"/>
      <c r="C167" s="82" t="n"/>
      <c r="D167" s="82" t="n"/>
      <c r="E167" s="82" t="n"/>
      <c r="F167" s="82" t="n"/>
    </row>
    <row r="168" ht="15" customHeight="1">
      <c r="A168" s="82" t="n"/>
      <c r="B168" s="82" t="n"/>
      <c r="C168" s="82" t="n"/>
      <c r="D168" s="82" t="n"/>
      <c r="E168" s="82" t="n"/>
      <c r="F168" s="82" t="n"/>
    </row>
    <row r="169" ht="15" customHeight="1">
      <c r="A169" s="82" t="n"/>
      <c r="B169" s="82" t="n"/>
      <c r="C169" s="82" t="n"/>
      <c r="D169" s="82" t="n"/>
      <c r="E169" s="82" t="n"/>
      <c r="F169" s="82" t="n"/>
    </row>
    <row r="170" ht="15" customHeight="1">
      <c r="A170" s="82" t="n"/>
      <c r="B170" s="82" t="n"/>
      <c r="C170" s="82" t="n"/>
      <c r="D170" s="82" t="n"/>
      <c r="E170" s="82" t="n"/>
      <c r="F170" s="82" t="n"/>
    </row>
    <row r="171" ht="15" customHeight="1">
      <c r="A171" s="82" t="n"/>
      <c r="B171" s="82" t="n"/>
      <c r="C171" s="82" t="n"/>
      <c r="D171" s="82" t="n"/>
      <c r="E171" s="82" t="n"/>
      <c r="F171" s="82" t="n"/>
    </row>
    <row r="172" ht="15" customHeight="1">
      <c r="A172" s="82" t="n"/>
      <c r="B172" s="82" t="n"/>
      <c r="C172" s="82" t="n"/>
      <c r="D172" s="82" t="n"/>
      <c r="E172" s="82" t="n"/>
      <c r="F172" s="82" t="n"/>
    </row>
    <row r="173" ht="15" customHeight="1">
      <c r="A173" s="82" t="n"/>
      <c r="B173" s="82" t="n"/>
      <c r="C173" s="82" t="n"/>
      <c r="D173" s="82" t="n"/>
      <c r="E173" s="82" t="n"/>
      <c r="F173" s="82" t="n"/>
    </row>
    <row r="174" ht="15" customHeight="1">
      <c r="A174" s="82" t="n"/>
      <c r="B174" s="82" t="n"/>
      <c r="C174" s="82" t="n"/>
      <c r="D174" s="82" t="n"/>
      <c r="E174" s="82" t="n"/>
      <c r="F174" s="82" t="n"/>
    </row>
    <row r="175" ht="15" customHeight="1">
      <c r="A175" s="82" t="n"/>
      <c r="B175" s="82" t="n"/>
      <c r="C175" s="82" t="n"/>
      <c r="D175" s="82" t="n"/>
      <c r="E175" s="82" t="n"/>
      <c r="F175" s="82" t="n"/>
    </row>
    <row r="176" ht="15" customHeight="1">
      <c r="A176" s="82" t="n"/>
      <c r="B176" s="82" t="n"/>
      <c r="C176" s="82" t="n"/>
      <c r="D176" s="82" t="n"/>
      <c r="E176" s="82" t="n"/>
      <c r="F176" s="82" t="n"/>
    </row>
    <row r="177" ht="15" customHeight="1">
      <c r="A177" s="82" t="n"/>
      <c r="B177" s="82" t="n"/>
      <c r="C177" s="82" t="n"/>
      <c r="D177" s="82" t="n"/>
      <c r="E177" s="82" t="n"/>
      <c r="F177" s="82" t="n"/>
    </row>
    <row r="178" ht="15" customHeight="1">
      <c r="A178" s="82" t="n"/>
      <c r="B178" s="82" t="n"/>
      <c r="C178" s="82" t="n"/>
      <c r="D178" s="82" t="n"/>
      <c r="E178" s="82" t="n"/>
      <c r="F178" s="82" t="n"/>
    </row>
    <row r="179" ht="15" customHeight="1">
      <c r="A179" s="82" t="n"/>
      <c r="B179" s="82" t="n"/>
      <c r="C179" s="82" t="n"/>
      <c r="D179" s="82" t="n"/>
      <c r="E179" s="82" t="n"/>
      <c r="F179" s="82" t="n"/>
    </row>
    <row r="180" ht="15" customHeight="1">
      <c r="A180" s="82" t="n"/>
      <c r="B180" s="82" t="n"/>
      <c r="C180" s="82" t="n"/>
      <c r="D180" s="82" t="n"/>
      <c r="E180" s="82" t="n"/>
      <c r="F180" s="82" t="n"/>
    </row>
    <row r="183" ht="8" customHeight="1"/>
    <row r="184" ht="6" customHeight="1"/>
    <row r="185" ht="29" customHeight="1">
      <c r="A185" s="182" t="n"/>
      <c r="B185" s="182" t="n"/>
      <c r="C185" s="182" t="n"/>
      <c r="D185" s="182" t="n"/>
    </row>
  </sheetData>
  <mergeCells count="4">
    <mergeCell ref="A46:B55"/>
    <mergeCell ref="C34:D43"/>
    <mergeCell ref="C46:D55"/>
    <mergeCell ref="A34:B43"/>
  </mergeCells>
  <conditionalFormatting sqref="A10:A11">
    <cfRule type="containsText" priority="30" operator="containsText" dxfId="5" text="FALSO">
      <formula>NOT(ISERROR(SEARCH("FALSO",A10)))</formula>
    </cfRule>
    <cfRule type="containsText" priority="29" operator="containsText" dxfId="6" text="VERO">
      <formula>NOT(ISERROR(SEARCH("VERO",A10)))</formula>
    </cfRule>
  </conditionalFormatting>
  <conditionalFormatting sqref="A11">
    <cfRule type="cellIs" priority="28" operator="equal" dxfId="6">
      <formula>"n"</formula>
    </cfRule>
    <cfRule type="cellIs" priority="27" operator="equal" dxfId="6">
      <formula>"nnnn"</formula>
    </cfRule>
    <cfRule type="cellIs" priority="26" operator="equal" dxfId="8">
      <formula>"nnnnnnn"</formula>
    </cfRule>
    <cfRule type="cellIs" priority="25" operator="equal" dxfId="2">
      <formula>"nnnnnnnnnn"</formula>
    </cfRule>
    <cfRule type="cellIs" priority="24" operator="equal" dxfId="2">
      <formula>"nnnnnnnnnnnnn"</formula>
    </cfRule>
  </conditionalFormatting>
  <conditionalFormatting sqref="A13:A14">
    <cfRule type="containsText" priority="23" operator="containsText" dxfId="5" text="FALSO">
      <formula>NOT(ISERROR(SEARCH("FALSO",A13)))</formula>
    </cfRule>
    <cfRule type="containsText" priority="22" operator="containsText" dxfId="6" text="VERO">
      <formula>NOT(ISERROR(SEARCH("VERO",A13)))</formula>
    </cfRule>
  </conditionalFormatting>
  <conditionalFormatting sqref="A14">
    <cfRule type="cellIs" priority="17" operator="equal" dxfId="2">
      <formula>"nnnnnnnnnnnnn"</formula>
    </cfRule>
    <cfRule type="cellIs" priority="18" operator="equal" dxfId="2">
      <formula>"nnnnnnnnnn"</formula>
    </cfRule>
    <cfRule type="cellIs" priority="19" operator="equal" dxfId="8">
      <formula>"nnnnnnn"</formula>
    </cfRule>
    <cfRule type="cellIs" priority="20" operator="equal" dxfId="6">
      <formula>"nnnn"</formula>
    </cfRule>
    <cfRule type="cellIs" priority="21" operator="equal" dxfId="6">
      <formula>"n"</formula>
    </cfRule>
  </conditionalFormatting>
  <conditionalFormatting sqref="A16:A17">
    <cfRule type="containsText" priority="15" operator="containsText" dxfId="6" text="VERO">
      <formula>NOT(ISERROR(SEARCH("VERO",A16)))</formula>
    </cfRule>
    <cfRule type="containsText" priority="16" operator="containsText" dxfId="5" text="FALSO">
      <formula>NOT(ISERROR(SEARCH("FALSO",A16)))</formula>
    </cfRule>
  </conditionalFormatting>
  <conditionalFormatting sqref="A17">
    <cfRule type="cellIs" priority="10" operator="equal" dxfId="2">
      <formula>"nnnnnnnnnnnnn"</formula>
    </cfRule>
    <cfRule type="cellIs" priority="11" operator="equal" dxfId="2">
      <formula>"nnnnnnnnnn"</formula>
    </cfRule>
    <cfRule type="cellIs" priority="12" operator="equal" dxfId="8">
      <formula>"nnnnnnn"</formula>
    </cfRule>
    <cfRule type="cellIs" priority="13" operator="equal" dxfId="6">
      <formula>"nnnn"</formula>
    </cfRule>
    <cfRule type="cellIs" priority="14" operator="equal" dxfId="6">
      <formula>"n"</formula>
    </cfRule>
  </conditionalFormatting>
  <conditionalFormatting sqref="B2:B3 B12 B15">
    <cfRule type="containsText" priority="70" operator="containsText" dxfId="5" text="FALSO">
      <formula>NOT(ISERROR(SEARCH("FALSO",B2)))</formula>
    </cfRule>
    <cfRule type="containsText" priority="69" operator="containsText" dxfId="0" text="VERO">
      <formula>NOT(ISERROR(SEARCH("VERO",B2)))</formula>
    </cfRule>
  </conditionalFormatting>
  <conditionalFormatting sqref="D15">
    <cfRule type="cellIs" priority="31" operator="equal" dxfId="3">
      <formula>10</formula>
    </cfRule>
    <cfRule type="cellIs" priority="32" operator="between" dxfId="2">
      <formula>1</formula>
      <formula>3</formula>
    </cfRule>
    <cfRule type="cellIs" priority="33" operator="between" dxfId="1">
      <formula>6</formula>
      <formula>4</formula>
    </cfRule>
    <cfRule type="cellIs" priority="34" operator="between" dxfId="0">
      <formula>7</formula>
      <formula>9</formula>
    </cfRule>
  </conditionalFormatting>
  <conditionalFormatting sqref="D126:D127">
    <cfRule type="iconSet" priority="9">
      <iconSet iconSet="3Arrows" showValue="0">
        <cfvo type="percent" val="0"/>
        <cfvo type="num" val="0"/>
        <cfvo type="num" val="1e-06"/>
      </iconSet>
    </cfRule>
  </conditionalFormatting>
  <conditionalFormatting sqref="D129">
    <cfRule type="iconSet" priority="5">
      <iconSet iconSet="3Arrows" showValue="0" reverse="1">
        <cfvo type="percent" val="0"/>
        <cfvo type="num" val="0"/>
        <cfvo type="num" val="1e-06"/>
      </iconSet>
    </cfRule>
  </conditionalFormatting>
  <conditionalFormatting sqref="D130 D133:D136">
    <cfRule type="iconSet" priority="8">
      <iconSet iconSet="3Arrows" showValue="0">
        <cfvo type="percent" val="0"/>
        <cfvo type="num" val="0"/>
        <cfvo type="num" val="1e-06"/>
      </iconSet>
    </cfRule>
  </conditionalFormatting>
  <conditionalFormatting sqref="D138">
    <cfRule type="iconSet" priority="7">
      <iconSet iconSet="3Arrows" showValue="0">
        <cfvo type="percent" val="0"/>
        <cfvo type="num" val="0"/>
        <cfvo type="num" val="1e-06"/>
      </iconSet>
    </cfRule>
  </conditionalFormatting>
  <conditionalFormatting sqref="D139">
    <cfRule type="iconSet" priority="1">
      <iconSet iconSet="3Arrows" showValue="0" reverse="1">
        <cfvo type="percent" val="0"/>
        <cfvo type="num" val="0"/>
        <cfvo type="num" val="1e-06"/>
      </iconSet>
    </cfRule>
  </conditionalFormatting>
  <conditionalFormatting sqref="D140">
    <cfRule type="iconSet" priority="6">
      <iconSet iconSet="3Arrows" showValue="0">
        <cfvo type="percent" val="0"/>
        <cfvo type="num" val="0"/>
        <cfvo type="num" val="1e-06"/>
      </iconSet>
    </cfRule>
  </conditionalFormatting>
  <conditionalFormatting sqref="D141">
    <cfRule type="iconSet" priority="3">
      <iconSet iconSet="3Arrows" showValue="0" reverse="1">
        <cfvo type="percent" val="0"/>
        <cfvo type="num" val="0"/>
        <cfvo type="num" val="1e-06"/>
      </iconSet>
    </cfRule>
  </conditionalFormatting>
  <conditionalFormatting sqref="D142">
    <cfRule type="iconSet" priority="2">
      <iconSet iconSet="3Arrows" showValue="0" reverse="1">
        <cfvo type="percent" val="0"/>
        <cfvo type="num" val="0"/>
        <cfvo type="num" val="1e-06"/>
      </iconSet>
    </cfRule>
  </conditionalFormatting>
  <dataValidations count="1">
    <dataValidation sqref="B11 B14 B17 B57" showDropDown="0" showInputMessage="1" showErrorMessage="1" allowBlank="1" type="list">
      <formula1>"Eccellente,Positiva,Adeguata,Critica,Molto Critica, -"</formula1>
    </dataValidation>
  </dataValidations>
  <pageMargins left="0.5118110236220472" right="0.5118110236220472" top="0.1574803149606299" bottom="0.1574803149606299" header="0.3149606299212598" footer="0.3149606299212598"/>
  <pageSetup orientation="portrait" paperSize="9" scale="80" fitToHeight="0"/>
  <rowBreaks count="1" manualBreakCount="1">
    <brk id="122" min="0" max="3" man="1"/>
  </rowBreaks>
  <colBreaks count="2" manualBreakCount="2">
    <brk id="4" min="0" max="141" man="1"/>
    <brk id="28" min="0" max="150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Casadei</dc:creator>
  <dcterms:created xsi:type="dcterms:W3CDTF">2015-06-05T18:19:34Z</dcterms:created>
  <dcterms:modified xsi:type="dcterms:W3CDTF">2026-06-05T09:28:44Z</dcterms:modified>
  <cp:lastModifiedBy>Luca Mambelli - luca.mambelli2@studio.unibo.it</cp:lastModifiedBy>
  <cp:lastPrinted>2026-05-25T14:48:55Z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0x0101005BFD78E6C2760240BB2F72201E2425F1</vt:lpwstr>
  </property>
  <property name="Order" fmtid="{D5CDD505-2E9C-101B-9397-08002B2CF9AE}" pid="3">
    <vt:r8>39200</vt:r8>
  </property>
  <property name="MediaServiceImageTags" fmtid="{D5CDD505-2E9C-101B-9397-08002B2CF9AE}" pid="4">
    <vt:lpwstr/>
  </property>
</Properties>
</file>